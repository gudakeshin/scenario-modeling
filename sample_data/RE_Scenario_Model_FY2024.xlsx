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Product_Master" state="visible" r:id="rId6"/>
    <sheet sheetId="4" name="Price_NSP" state="visible" r:id="rId7"/>
    <sheet sheetId="5" name="Volume_Plan" state="visible" r:id="rId8"/>
    <sheet sheetId="6" name="Revenue" state="visible" r:id="rId9"/>
    <sheet sheetId="7" name="Emp_Cost" state="visible" r:id="rId10"/>
    <sheet sheetId="8" name="Mktng_Cost" state="visible" r:id="rId11"/>
    <sheet sheetId="9" name="GL_Reference" state="visible" r:id="rId12"/>
    <sheet sheetId="10" name="P&amp;L" state="visible" r:id="rId13"/>
  </sheets>
  <calcPr calcId="171027"/>
</workbook>
</file>

<file path=xl/sharedStrings.xml><?xml version="1.0" encoding="utf-8"?>
<sst xmlns="http://schemas.openxmlformats.org/spreadsheetml/2006/main" count="928" uniqueCount="388">
  <si>
    <t>ROYAL ENFIELD</t>
  </si>
  <si>
    <t>Integrated Scenario Planning Model  |  FY23 Actuals + FY24 Plan</t>
  </si>
  <si>
    <t>Revenue · Employee Cost · Marketing · P&amp;L Summary  |  3-Scenario Toggle</t>
  </si>
  <si>
    <t>MODEL OVERVIEW</t>
  </si>
  <si>
    <t>This model integrates data from 9 source files into a unified FP&amp;A planning workbook.</t>
  </si>
  <si>
    <t>Select your scenario on the Assumptions tab to drive volume and price projections.</t>
  </si>
  <si>
    <t>Sheet</t>
  </si>
  <si>
    <t>Description</t>
  </si>
  <si>
    <t>Source Files</t>
  </si>
  <si>
    <t>Assumptions</t>
  </si>
  <si>
    <t>Scenario inputs — volume growth, price change, marketing spend %</t>
  </si>
  <si>
    <t>Manual inputs</t>
  </si>
  <si>
    <t>Product_Master</t>
  </si>
  <si>
    <t>5-level product hierarchy: Platform → Family → Index Key → Material</t>
  </si>
  <si>
    <t>Files 1, 2</t>
  </si>
  <si>
    <t>Price_NSP</t>
  </si>
  <si>
    <t>NSP (factory price), Ex-Showroom and On-Road price by Model Family</t>
  </si>
  <si>
    <t>File 3</t>
  </si>
  <si>
    <t>Volume_Plan</t>
  </si>
  <si>
    <t>Monthly volumes FY23 actuals + FY24 plan by Family × Zone</t>
  </si>
  <si>
    <t>File 11</t>
  </si>
  <si>
    <t>Revenue</t>
  </si>
  <si>
    <t>Revenue = Volume × NSP with scenario price adjustment</t>
  </si>
  <si>
    <t>Files 3, 11</t>
  </si>
  <si>
    <t>Emp_Cost</t>
  </si>
  <si>
    <t>Headcount × Planning Rate model with monthly additions / attritions</t>
  </si>
  <si>
    <t>File 8</t>
  </si>
  <si>
    <t>Mktng_Cost</t>
  </si>
  <si>
    <t>Marketing spend plan by activity IO, model family, monthly phasing</t>
  </si>
  <si>
    <t>File 4</t>
  </si>
  <si>
    <t>GL_Reference</t>
  </si>
  <si>
    <t>GL account hierarchy mapping to P&amp;L and Balance Sheet nodes</t>
  </si>
  <si>
    <t>Files 9, 10</t>
  </si>
  <si>
    <t>P&amp;L</t>
  </si>
  <si>
    <t>Monthly P&amp;L: Gross Revenue → EBITDA with 3-scenario toggle</t>
  </si>
  <si>
    <t>All files</t>
  </si>
  <si>
    <t>COLOUR LEGEND</t>
  </si>
  <si>
    <t xml:space="preserve">  ██  </t>
  </si>
  <si>
    <t>Hardcoded Input (Blue text)   — change these to model scenarios</t>
  </si>
  <si>
    <t>Formula / Calculation (Black text)</t>
  </si>
  <si>
    <t>Cross-sheet Link (Green text)</t>
  </si>
  <si>
    <t>External file link (Red text)</t>
  </si>
  <si>
    <t>ROYAL ENFIELD  |  SCENARIO ASSUMPTIONS</t>
  </si>
  <si>
    <t>SCENARIO SELECTOR</t>
  </si>
  <si>
    <t>Active Scenario</t>
  </si>
  <si>
    <t>Base</t>
  </si>
  <si>
    <t>← Select: Base / Bull / Bear</t>
  </si>
  <si>
    <t>VOLUME GROWTH ASSUMPTIONS  (YoY FY24 vs FY23)</t>
  </si>
  <si>
    <t>Model Family</t>
  </si>
  <si>
    <t>Base Growth %</t>
  </si>
  <si>
    <t>Bull Growth %</t>
  </si>
  <si>
    <t>Bear Growth %</t>
  </si>
  <si>
    <t>Active Growth %</t>
  </si>
  <si>
    <t>Note</t>
  </si>
  <si>
    <t>Bullet</t>
  </si>
  <si>
    <t>Base = consensus; Bull = strong demand; Bear = macro headwinds</t>
  </si>
  <si>
    <t>Classic</t>
  </si>
  <si>
    <t>Himalayan</t>
  </si>
  <si>
    <t>Meteor</t>
  </si>
  <si>
    <t>Twins</t>
  </si>
  <si>
    <t>PRICE (NSP) CHANGE ASSUMPTIONS  (% change vs current NSP)</t>
  </si>
  <si>
    <t>Base Price Δ%</t>
  </si>
  <si>
    <t>Bull Price Δ%</t>
  </si>
  <si>
    <t>Bear Price Δ%</t>
  </si>
  <si>
    <t>Active Price Δ%</t>
  </si>
  <si>
    <t>Reflects planned price revision announcements</t>
  </si>
  <si>
    <t>COST ASSUMPTIONS</t>
  </si>
  <si>
    <t>Cost Item</t>
  </si>
  <si>
    <t>Bull</t>
  </si>
  <si>
    <t>Bear</t>
  </si>
  <si>
    <t>Active</t>
  </si>
  <si>
    <t>Material Cost % of NSP</t>
  </si>
  <si>
    <t>Vehicle materials, components — COGS</t>
  </si>
  <si>
    <t>Marketing Spend % of Revenue</t>
  </si>
  <si>
    <t>IO-level spend across activities</t>
  </si>
  <si>
    <t>Other Overheads (INR Cr/mo)</t>
  </si>
  <si>
    <t>Fixed overheads (manufacturing, G&amp;A)</t>
  </si>
  <si>
    <t>PRODUCT HIERARCHY MASTER  |  Source: Files 1 &amp; 2 — RE Masters, Product Hierarchy</t>
  </si>
  <si>
    <t>Platform</t>
  </si>
  <si>
    <t>Family</t>
  </si>
  <si>
    <t>Index Key</t>
  </si>
  <si>
    <t>Variant Description</t>
  </si>
  <si>
    <t>Material Group</t>
  </si>
  <si>
    <t>Notes</t>
  </si>
  <si>
    <t>UCE</t>
  </si>
  <si>
    <t>Bullet 350 (Single Channel) BSVI</t>
  </si>
  <si>
    <t>Bullet ES X (Single Channel) BSVI</t>
  </si>
  <si>
    <t>6002C</t>
  </si>
  <si>
    <t>J</t>
  </si>
  <si>
    <t>Hunter</t>
  </si>
  <si>
    <t>Hunter 350 Single Channel</t>
  </si>
  <si>
    <t>6004D</t>
  </si>
  <si>
    <t>Bullet UCE</t>
  </si>
  <si>
    <t>V101</t>
  </si>
  <si>
    <t>V102</t>
  </si>
  <si>
    <t>Bullet X (Single Channel) BSVI</t>
  </si>
  <si>
    <t>6001A</t>
  </si>
  <si>
    <t>V103</t>
  </si>
  <si>
    <t>V126</t>
  </si>
  <si>
    <t>V127</t>
  </si>
  <si>
    <t>Hunter 350 Dual Channel Base</t>
  </si>
  <si>
    <t>V178</t>
  </si>
  <si>
    <t>Hunter 350 Dual Channel Premium</t>
  </si>
  <si>
    <t>6004C</t>
  </si>
  <si>
    <t>Classic J1A</t>
  </si>
  <si>
    <t>V160</t>
  </si>
  <si>
    <t>New Classic Redditch (Single Channel)</t>
  </si>
  <si>
    <t>6005Q</t>
  </si>
  <si>
    <t>V181</t>
  </si>
  <si>
    <t>New Classic Halcyon (Single Channel)</t>
  </si>
  <si>
    <t>6005S</t>
  </si>
  <si>
    <t>V120</t>
  </si>
  <si>
    <t>New Classic Halcyon (Dual Channel)</t>
  </si>
  <si>
    <t>6005J</t>
  </si>
  <si>
    <t>V121</t>
  </si>
  <si>
    <t>New Classic Signals (Dual Channel)</t>
  </si>
  <si>
    <t>V122</t>
  </si>
  <si>
    <t>New Classic Dark (Dual Channel)</t>
  </si>
  <si>
    <t>V123</t>
  </si>
  <si>
    <t>New Classic Chrome (Dual Channel)</t>
  </si>
  <si>
    <t>V128</t>
  </si>
  <si>
    <t>Meteor Fireball (Dual Channel)</t>
  </si>
  <si>
    <t>V129</t>
  </si>
  <si>
    <t>Meteor Stellar (Dual Channel)</t>
  </si>
  <si>
    <t>6003C</t>
  </si>
  <si>
    <t>V130</t>
  </si>
  <si>
    <t>Meteor Supernova (Dual Channel)</t>
  </si>
  <si>
    <t>6003D</t>
  </si>
  <si>
    <t>D</t>
  </si>
  <si>
    <t>V166</t>
  </si>
  <si>
    <t>Himalayan D3G Mid</t>
  </si>
  <si>
    <t>6020D</t>
  </si>
  <si>
    <t>V113</t>
  </si>
  <si>
    <t>Himalayan D3G Premium</t>
  </si>
  <si>
    <t>6020E</t>
  </si>
  <si>
    <t>V167</t>
  </si>
  <si>
    <t>Himalayan D3G Base</t>
  </si>
  <si>
    <t>6020A</t>
  </si>
  <si>
    <t>Scram</t>
  </si>
  <si>
    <t>V169</t>
  </si>
  <si>
    <t>Scram 411 D3K Mid</t>
  </si>
  <si>
    <t>6020F</t>
  </si>
  <si>
    <t>V170</t>
  </si>
  <si>
    <t>Scram 411 D3K Premium</t>
  </si>
  <si>
    <t>6020G</t>
  </si>
  <si>
    <t>V168</t>
  </si>
  <si>
    <t>Scram 411 D3K Base</t>
  </si>
  <si>
    <t>6020C</t>
  </si>
  <si>
    <t>P</t>
  </si>
  <si>
    <t>Twins 650</t>
  </si>
  <si>
    <t>V114</t>
  </si>
  <si>
    <t>Interceptor 650 Base</t>
  </si>
  <si>
    <t>V115</t>
  </si>
  <si>
    <t>Interceptor 650 Mid</t>
  </si>
  <si>
    <t>6022A</t>
  </si>
  <si>
    <t>V116</t>
  </si>
  <si>
    <t>Interceptor 650 Premium</t>
  </si>
  <si>
    <t>6022D</t>
  </si>
  <si>
    <t>V117</t>
  </si>
  <si>
    <t>Continental 650 Base</t>
  </si>
  <si>
    <t>6010A</t>
  </si>
  <si>
    <t>V118</t>
  </si>
  <si>
    <t>Continental 650 Mid</t>
  </si>
  <si>
    <t>6010C</t>
  </si>
  <si>
    <t>V119</t>
  </si>
  <si>
    <t>Continental 650 Premium</t>
  </si>
  <si>
    <t>6010E</t>
  </si>
  <si>
    <t>Classic UCE</t>
  </si>
  <si>
    <t>V104</t>
  </si>
  <si>
    <t>Classic 350 (Single Channel) BSVI</t>
  </si>
  <si>
    <t>V140</t>
  </si>
  <si>
    <t>Classic 350 (Dual Channel) BSVI</t>
  </si>
  <si>
    <t>V105</t>
  </si>
  <si>
    <t>Classic 350 Signal (Dual Channel) BSVI</t>
  </si>
  <si>
    <t>6005E</t>
  </si>
  <si>
    <t>V106</t>
  </si>
  <si>
    <t>Classic 350 Chrome (Dual Channel) BSVI</t>
  </si>
  <si>
    <t>6005FA</t>
  </si>
  <si>
    <t>V161</t>
  </si>
  <si>
    <t>Classic 350 Gun Grey Spoke (Dual Channel) BSVI</t>
  </si>
  <si>
    <t>6005A</t>
  </si>
  <si>
    <t>V107</t>
  </si>
  <si>
    <t>Classic 350 Gun Grey Alloy (Dual Channel) BSVI</t>
  </si>
  <si>
    <t>6005AB</t>
  </si>
  <si>
    <t>V108</t>
  </si>
  <si>
    <t>Classic 350 Stealth Black Alloy (Dual Channel) BSVI</t>
  </si>
  <si>
    <t>6005G</t>
  </si>
  <si>
    <t>Sl No</t>
  </si>
  <si>
    <t>Total Domestic Unique Index Key's for delta</t>
  </si>
  <si>
    <t>Total International Unique Index Key's for delta</t>
  </si>
  <si>
    <t>NSP &amp; PRICE WALK BY MODEL FAMILY  |  Source: File 3 — MTS Price Working (avg. across 2,482 model-state combinations)</t>
  </si>
  <si>
    <t>NSP (₹)</t>
  </si>
  <si>
    <t>GST Rate</t>
  </si>
  <si>
    <t>GST Amount (₹)</t>
  </si>
  <si>
    <t>Ex-Showroom (₹)</t>
  </si>
  <si>
    <t>RTO+Ins (₹)</t>
  </si>
  <si>
    <t>On-Road (₹)</t>
  </si>
  <si>
    <t>NSP/On-Road %</t>
  </si>
  <si>
    <t>FY24 Adj NSP (₹)</t>
  </si>
  <si>
    <t>Note: NSP = Net Selling Price (factory realisation). Values are weighted averages across all states. Blue = hardcoded input from source file. Teal = FY24 scenario-adjusted NSP.</t>
  </si>
  <si>
    <t>VOLUME PLAN  |  Source: File 11 — Volume Planning  |  FY23 Actuals + FY24 Scenario Plan (Units)</t>
  </si>
  <si>
    <t>Metric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</si>
  <si>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</si>
  <si>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</si>
  <si>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</si>
  <si>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</si>
  <si>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</si>
  <si>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</si>
  <si>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</si>
  <si>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</si>
  <si>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</si>
  <si>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</si>
  <si>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</si>
  <si>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</si>
  <si>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FY Total</t>
  </si>
  <si>
    <t>YoY Δ%</t>
  </si>
  <si>
    <t>▶  FY23 ACTUAL VOLUMES  (Apr-23 to Mar-24, India Domestic)</t>
  </si>
  <si>
    <t>Actual Units</t>
  </si>
  <si>
    <t>-</t>
  </si>
  <si>
    <t>FY23 TOTAL</t>
  </si>
  <si>
    <t>▶  FY24 PLAN VOLUMES  (Apr-24 to Mar-25, Scenario-driven)</t>
  </si>
  <si>
    <t>Plan Units</t>
  </si>
  <si>
    <t>FY24 TOTAL</t>
  </si>
  <si>
    <t>REVENUE MODEL  |  Volume × NSP (FY24 Scenario Plan)  |  ₹ in Crores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</si>
  <si>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</si>
  <si>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</si>
  <si>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</si>
  <si>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</si>
  <si>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</si>
  <si>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</si>
  <si>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</si>
  <si>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</si>
  <si>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</si>
  <si>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</si>
  <si>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</si>
  <si>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</si>
  <si>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FY24 Total</t>
  </si>
  <si>
    <t>% of Total</t>
  </si>
  <si>
    <t>Volume (Units)</t>
  </si>
  <si>
    <t>Adj NSP (₹)</t>
  </si>
  <si>
    <t>Gross Revenue (₹ Cr)</t>
  </si>
  <si>
    <t>TOTAL GROSS REVENUE (₹ Cr)</t>
  </si>
  <si>
    <t>EMPLOYEE COST MODEL  |  Source: File 8 — India Headcount  |  ₹ in Crores  |  Rates illustrative — update with actual planning rates</t>
  </si>
  <si>
    <t>Designation</t>
  </si>
  <si>
    <t>Function</t>
  </si>
  <si>
    <t>Opening HC</t>
  </si>
  <si>
    <t>Annual Rate (₹)</t>
  </si>
  <si>
    <t>PI %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</si>
  <si>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</si>
  <si>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</si>
  <si>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</si>
  <si>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</si>
  <si>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</si>
  <si>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</si>
  <si>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</si>
  <si>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</si>
  <si>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</si>
  <si>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</si>
  <si>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</si>
  <si>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</si>
  <si>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FY24 Cost (₹Cr)</t>
  </si>
  <si>
    <t>Management</t>
  </si>
  <si>
    <t>Management Team</t>
  </si>
  <si>
    <t>Engineer / Executive</t>
  </si>
  <si>
    <t>Finance</t>
  </si>
  <si>
    <t>Junior Executive</t>
  </si>
  <si>
    <t>Human Resources</t>
  </si>
  <si>
    <t>GET/PGET/MT</t>
  </si>
  <si>
    <t>Information Technology</t>
  </si>
  <si>
    <t>Workmen</t>
  </si>
  <si>
    <t>Product Strategy &amp; Industrial Design</t>
  </si>
  <si>
    <t>Associate Engineers</t>
  </si>
  <si>
    <t>Apparel</t>
  </si>
  <si>
    <t>Testing Engineers</t>
  </si>
  <si>
    <t>Business-Genuine Motor Cycle Accessories</t>
  </si>
  <si>
    <t>NAPS Trainee</t>
  </si>
  <si>
    <t>Spare Parts Business</t>
  </si>
  <si>
    <t>NEEM Trainee</t>
  </si>
  <si>
    <t>Electric Vehicles (BD)</t>
  </si>
  <si>
    <t>Casuals-Direct</t>
  </si>
  <si>
    <t>Brand</t>
  </si>
  <si>
    <t>Staff on Contract</t>
  </si>
  <si>
    <t>Quality and Projects &amp; ME</t>
  </si>
  <si>
    <t>TOTAL EMPLOYEE COST (₹ Cr)</t>
  </si>
  <si>
    <t>MARKETING COST PLAN  |  Source: File 4 — Marketing Cost Master  |  ₹ in Crores</t>
  </si>
  <si>
    <t>IO Reference</t>
  </si>
  <si>
    <t>Activity Name</t>
  </si>
  <si>
    <t>MIS Heading</t>
  </si>
  <si>
    <t>Cost Center</t>
  </si>
  <si>
    <t>Type</t>
  </si>
  <si>
    <t>FY24 Total (₹Cr)</t>
  </si>
  <si>
    <t>IO-001</t>
  </si>
  <si>
    <t>Digital Marketing - Social Media</t>
  </si>
  <si>
    <t>Digital Media</t>
  </si>
  <si>
    <t>CC-MKT-01</t>
  </si>
  <si>
    <t>ATL</t>
  </si>
  <si>
    <t>IO-002</t>
  </si>
  <si>
    <t>Digital Marketing - Influencer</t>
  </si>
  <si>
    <t>BTL</t>
  </si>
  <si>
    <t>IO-003</t>
  </si>
  <si>
    <t>Outdoor/OOH Advertising</t>
  </si>
  <si>
    <t>OOH</t>
  </si>
  <si>
    <t>CC-MKT-02</t>
  </si>
  <si>
    <t>IO-004</t>
  </si>
  <si>
    <t>Dealership Events &amp; Activations</t>
  </si>
  <si>
    <t>Events</t>
  </si>
  <si>
    <t>CC-MKT-03</t>
  </si>
  <si>
    <t>IO-005</t>
  </si>
  <si>
    <t>Product Launch Campaign</t>
  </si>
  <si>
    <t>Launch</t>
  </si>
  <si>
    <t>CC-MKT-04</t>
  </si>
  <si>
    <t>IO-006</t>
  </si>
  <si>
    <t>Sports Sponsorships</t>
  </si>
  <si>
    <t>All</t>
  </si>
  <si>
    <t>Sponsorship</t>
  </si>
  <si>
    <t>CC-MKT-05</t>
  </si>
  <si>
    <t>IO-007</t>
  </si>
  <si>
    <t>Riding Community / RE Community</t>
  </si>
  <si>
    <t>Community</t>
  </si>
  <si>
    <t>CC-MKT-06</t>
  </si>
  <si>
    <t>IO-008</t>
  </si>
  <si>
    <t>Trade Promotions &amp; Dealer Incentives</t>
  </si>
  <si>
    <t>Trade Promo</t>
  </si>
  <si>
    <t>CC-MKT-07</t>
  </si>
  <si>
    <t>IO-009</t>
  </si>
  <si>
    <t>Market Research</t>
  </si>
  <si>
    <t>Research</t>
  </si>
  <si>
    <t>CC-MKT-08</t>
  </si>
  <si>
    <t>Below Line</t>
  </si>
  <si>
    <t>IO-010</t>
  </si>
  <si>
    <t>PR &amp; Corporate Communications</t>
  </si>
  <si>
    <t>PR</t>
  </si>
  <si>
    <t>CC-MKT-09</t>
  </si>
  <si>
    <t>TOTAL MARKETING COST (₹ Cr)</t>
  </si>
  <si>
    <t>GL HIERARCHY REFERENCE  |  Source: Files 9 &amp; 10 — Chart of Accounts, GL Mapping</t>
  </si>
  <si>
    <t>▶  CHART OF ACCOUNTS (GL Master)</t>
  </si>
  <si>
    <t>▶  P&amp;L HIERARCHY (GL → P&amp;L Node)</t>
  </si>
  <si>
    <t>G/L Account</t>
  </si>
  <si>
    <t>B/S or P&amp;L</t>
  </si>
  <si>
    <t>GL From</t>
  </si>
  <si>
    <t>GL To</t>
  </si>
  <si>
    <t>P&amp;L Node (Parent1)</t>
  </si>
  <si>
    <t>P&amp;L Node (Parent2)</t>
  </si>
  <si>
    <t>EQUITY SHARE CAPITAL</t>
  </si>
  <si>
    <t>X</t>
  </si>
  <si>
    <t>EXCISE DUTY -SUBCONTRACTING</t>
  </si>
  <si>
    <t>EXCISE DUTY</t>
  </si>
  <si>
    <t>EQUITY SHARE CAPITAL SUSPENSE ACCOUNT</t>
  </si>
  <si>
    <t>SCRAP SALES</t>
  </si>
  <si>
    <t>MATERIAL COST</t>
  </si>
  <si>
    <t>Gratuity Fund</t>
  </si>
  <si>
    <t>VEHICLES</t>
  </si>
  <si>
    <t>MATERIAL CONSUMED</t>
  </si>
  <si>
    <t>GENERAL RESERVE</t>
  </si>
  <si>
    <t>Depreciation Reserve</t>
  </si>
  <si>
    <t>ESOP-Equity Reserve</t>
  </si>
  <si>
    <t>PROFIT &amp; LOSS ACCOUNT</t>
  </si>
  <si>
    <t>RETAINED EARNING (CURRENT YEAR PROFIT)</t>
  </si>
  <si>
    <t>Motorcycle revenue india</t>
  </si>
  <si>
    <t>Spares revenue india</t>
  </si>
  <si>
    <t>Rates &amp; Taxes</t>
  </si>
  <si>
    <t>FIXED OVERHEADS</t>
  </si>
  <si>
    <t>Motorcycle material cost india</t>
  </si>
  <si>
    <t>DOMESTIC/EXPORTS ACCESSORIES</t>
  </si>
  <si>
    <t>SALES</t>
  </si>
  <si>
    <t>Motorcycle other costs india</t>
  </si>
  <si>
    <t>OTHER INCOME</t>
  </si>
  <si>
    <t>OTHERS</t>
  </si>
  <si>
    <t>EXCISE DUTY- VEHICLES</t>
  </si>
  <si>
    <t>EXCISE DUTY - SPARES</t>
  </si>
  <si>
    <t>EXCISE DUTY - ACCESSORIES</t>
  </si>
  <si>
    <t>P&amp;L SUMMARY  |  FY24 SCENARIO PLAN  |  Change scenario on Assumptions tab  |  Rs. in Crores</t>
  </si>
  <si>
    <t>P&amp;L Line Item</t>
  </si>
  <si>
    <t>% of Rev</t>
  </si>
  <si>
    <t>REVENUE</t>
  </si>
  <si>
    <t xml:space="preserve">  Gross Revenue</t>
  </si>
  <si>
    <t xml:space="preserve">  Less: Trade Discounts &amp; Returns</t>
  </si>
  <si>
    <t>NET REVENUE</t>
  </si>
  <si>
    <t>COST OF GOODS SOLD</t>
  </si>
  <si>
    <t xml:space="preserve">  Material &amp; Vehicle Cost</t>
  </si>
  <si>
    <t>GROSS PROFIT</t>
  </si>
  <si>
    <t>OPERATING EXPENSES</t>
  </si>
  <si>
    <t xml:space="preserve">  Employee Costs</t>
  </si>
  <si>
    <t xml:space="preserve">  Marketing &amp; Brand Costs</t>
  </si>
  <si>
    <t xml:space="preserve">  Other Fixed Overheads</t>
  </si>
  <si>
    <t xml:space="preserve">  Total OpEx</t>
  </si>
  <si>
    <t>EBITDA</t>
  </si>
  <si>
    <t>EBITDA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</si>
</sst>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FormatPr defaultRowHeight="15" outlineLevelRow="0" outlineLevelCol="0" x14ac:dyDescent="55"/>
  <sheetData>
    <row r="2" spans="2:11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2:11" x14ac:dyDescent="0.25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2:11" x14ac:dyDescent="0.25"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</row>
    <row r="8" spans="2:10" x14ac:dyDescent="0.25"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</row>
    <row r="9" spans="2:10" x14ac:dyDescent="0.25"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2:10" x14ac:dyDescent="0.25"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</row>
    <row r="12" spans="2:7" x14ac:dyDescent="0.25">
      <c r="B12" t="s">
        <v>6</v>
      </c>
      <c r="C12" t="s">
        <v>7</v>
      </c>
      <c r="D12" t="s">
        <v>8</v>
      </c>
      <c r="E12" t="s">
        <v>8</v>
      </c>
      <c r="F12" t="s">
        <v>8</v>
      </c>
      <c r="G12" t="s">
        <v>8</v>
      </c>
    </row>
    <row r="13" spans="2:7" x14ac:dyDescent="0.25">
      <c r="B13" t="s">
        <v>9</v>
      </c>
      <c r="C13" t="s">
        <v>10</v>
      </c>
      <c r="D13" t="s">
        <v>11</v>
      </c>
      <c r="E13" t="s">
        <v>11</v>
      </c>
      <c r="F13" t="s">
        <v>11</v>
      </c>
      <c r="G13" t="s">
        <v>11</v>
      </c>
    </row>
    <row r="14" spans="2:7" x14ac:dyDescent="0.25">
      <c r="B14" t="s">
        <v>12</v>
      </c>
      <c r="C14" t="s">
        <v>13</v>
      </c>
      <c r="D14" t="s">
        <v>14</v>
      </c>
      <c r="E14" t="s">
        <v>14</v>
      </c>
      <c r="F14" t="s">
        <v>14</v>
      </c>
      <c r="G14" t="s">
        <v>14</v>
      </c>
    </row>
    <row r="15" spans="2:7" x14ac:dyDescent="0.25">
      <c r="B15" t="s">
        <v>15</v>
      </c>
      <c r="C15" t="s">
        <v>16</v>
      </c>
      <c r="D15" t="s">
        <v>17</v>
      </c>
      <c r="E15" t="s">
        <v>17</v>
      </c>
      <c r="F15" t="s">
        <v>17</v>
      </c>
      <c r="G15" t="s">
        <v>17</v>
      </c>
    </row>
    <row r="16" spans="2:7" x14ac:dyDescent="0.25">
      <c r="B16" t="s">
        <v>18</v>
      </c>
      <c r="C16" t="s">
        <v>19</v>
      </c>
      <c r="D16" t="s">
        <v>20</v>
      </c>
      <c r="E16" t="s">
        <v>20</v>
      </c>
      <c r="F16" t="s">
        <v>20</v>
      </c>
      <c r="G16" t="s">
        <v>20</v>
      </c>
    </row>
    <row r="17" spans="2:7" x14ac:dyDescent="0.25">
      <c r="B17" t="s">
        <v>21</v>
      </c>
      <c r="C17" t="s">
        <v>22</v>
      </c>
      <c r="D17" t="s">
        <v>23</v>
      </c>
      <c r="E17" t="s">
        <v>23</v>
      </c>
      <c r="F17" t="s">
        <v>23</v>
      </c>
      <c r="G17" t="s">
        <v>23</v>
      </c>
    </row>
    <row r="18" spans="2:7" x14ac:dyDescent="0.25">
      <c r="B18" t="s">
        <v>24</v>
      </c>
      <c r="C18" t="s">
        <v>25</v>
      </c>
      <c r="D18" t="s">
        <v>26</v>
      </c>
      <c r="E18" t="s">
        <v>26</v>
      </c>
      <c r="F18" t="s">
        <v>26</v>
      </c>
      <c r="G18" t="s">
        <v>26</v>
      </c>
    </row>
    <row r="19" spans="2:7" x14ac:dyDescent="0.25">
      <c r="B19" t="s">
        <v>27</v>
      </c>
      <c r="C19" t="s">
        <v>28</v>
      </c>
      <c r="D19" t="s">
        <v>29</v>
      </c>
      <c r="E19" t="s">
        <v>29</v>
      </c>
      <c r="F19" t="s">
        <v>29</v>
      </c>
      <c r="G19" t="s">
        <v>29</v>
      </c>
    </row>
    <row r="20" spans="2:7" x14ac:dyDescent="0.25">
      <c r="B20" t="s">
        <v>30</v>
      </c>
      <c r="C20" t="s">
        <v>31</v>
      </c>
      <c r="D20" t="s">
        <v>32</v>
      </c>
      <c r="E20" t="s">
        <v>32</v>
      </c>
      <c r="F20" t="s">
        <v>32</v>
      </c>
      <c r="G20" t="s">
        <v>32</v>
      </c>
    </row>
    <row r="21" spans="2:7" x14ac:dyDescent="0.25">
      <c r="B21" t="s">
        <v>33</v>
      </c>
      <c r="C21" t="s">
        <v>34</v>
      </c>
      <c r="D21" t="s">
        <v>35</v>
      </c>
      <c r="E21" t="s">
        <v>35</v>
      </c>
      <c r="F21" t="s">
        <v>35</v>
      </c>
      <c r="G21" t="s">
        <v>35</v>
      </c>
    </row>
    <row r="24" spans="2:5" x14ac:dyDescent="0.25">
      <c r="B24" t="s">
        <v>36</v>
      </c>
      <c r="C24" t="s">
        <v>36</v>
      </c>
      <c r="D24" t="s">
        <v>36</v>
      </c>
      <c r="E24" t="s">
        <v>36</v>
      </c>
    </row>
    <row r="25" spans="2:7" x14ac:dyDescent="0.25">
      <c r="B25" t="s">
        <v>37</v>
      </c>
      <c r="C25" t="s">
        <v>38</v>
      </c>
      <c r="D25" t="s">
        <v>38</v>
      </c>
      <c r="E25" t="s">
        <v>38</v>
      </c>
      <c r="F25" t="s">
        <v>38</v>
      </c>
      <c r="G25" t="s">
        <v>38</v>
      </c>
    </row>
    <row r="26" spans="2:7" x14ac:dyDescent="0.25">
      <c r="B26" t="s">
        <v>37</v>
      </c>
      <c r="C26" t="s">
        <v>39</v>
      </c>
      <c r="D26" t="s">
        <v>39</v>
      </c>
      <c r="E26" t="s">
        <v>39</v>
      </c>
      <c r="F26" t="s">
        <v>39</v>
      </c>
      <c r="G26" t="s">
        <v>39</v>
      </c>
    </row>
    <row r="27" spans="2:7" x14ac:dyDescent="0.25">
      <c r="B27" t="s">
        <v>37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</row>
    <row r="28" spans="2:7" x14ac:dyDescent="0.25">
      <c r="B28" t="s">
        <v>37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8" x14ac:dyDescent="0.25">
      <c r="A1" t="s">
        <v>42</v>
      </c>
      <c r="B1" t="s">
        <v>42</v>
      </c>
      <c r="C1" t="s">
        <v>42</v>
      </c>
      <c r="D1" t="s">
        <v>42</v>
      </c>
      <c r="E1" t="s">
        <v>42</v>
      </c>
      <c r="F1" t="s">
        <v>42</v>
      </c>
      <c r="G1" t="s">
        <v>42</v>
      </c>
      <c r="H1" t="s">
        <v>42</v>
      </c>
    </row>
    <row r="3" spans="1:3" x14ac:dyDescent="0.25">
      <c r="A3" t="s">
        <v>43</v>
      </c>
      <c r="B3" t="s">
        <v>43</v>
      </c>
      <c r="C3" t="s">
        <v>43</v>
      </c>
    </row>
    <row r="4" spans="1:3" x14ac:dyDescent="0.25">
      <c r="A4" t="s">
        <v>44</v>
      </c>
      <c r="B4" t="s">
        <v>45</v>
      </c>
      <c r="C4" t="s">
        <v>46</v>
      </c>
    </row>
    <row r="6" spans="1:8" x14ac:dyDescent="0.25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</row>
    <row r="7" spans="1:6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</row>
    <row r="8" spans="1:6" x14ac:dyDescent="0.25">
      <c r="A8" t="s">
        <v>54</v>
      </c>
      <c r="B8">
        <v>0.06</v>
      </c>
      <c r="C8">
        <v>0.15</v>
      </c>
      <c r="D8">
        <v>-0.05</v>
      </c>
      <c r="E8">
        <f>IF(Assumptions!$B$4="Bull",C8,IF(Assumptions!$B$4="Bear",D8,B8))</f>
        <v>0.06</v>
      </c>
      <c r="F8" t="s">
        <v>55</v>
      </c>
    </row>
    <row r="9" spans="1:6" x14ac:dyDescent="0.25">
      <c r="A9" t="s">
        <v>56</v>
      </c>
      <c r="B9">
        <v>0.05</v>
      </c>
      <c r="C9">
        <v>0.12</v>
      </c>
      <c r="D9">
        <v>-0.04</v>
      </c>
      <c r="E9">
        <f>IF(Assumptions!$B$4="Bull",C9,IF(Assumptions!$B$4="Bear",D9,B9))</f>
        <v>0.05</v>
      </c>
      <c r="F9" t="s">
        <v>55</v>
      </c>
    </row>
    <row r="10" spans="1:6" x14ac:dyDescent="0.25">
      <c r="A10" t="s">
        <v>57</v>
      </c>
      <c r="B10">
        <v>0.1</v>
      </c>
      <c r="C10">
        <v>0.2</v>
      </c>
      <c r="D10">
        <v>-0.03</v>
      </c>
      <c r="E10">
        <f>IF(Assumptions!$B$4="Bull",C10,IF(Assumptions!$B$4="Bear",D10,B10))</f>
        <v>0.1</v>
      </c>
      <c r="F10" t="s">
        <v>55</v>
      </c>
    </row>
    <row r="11" spans="1:6" x14ac:dyDescent="0.25">
      <c r="A11" t="s">
        <v>58</v>
      </c>
      <c r="B11">
        <v>0.08</v>
      </c>
      <c r="C11">
        <v>0.18</v>
      </c>
      <c r="D11">
        <v>-0.06</v>
      </c>
      <c r="E11">
        <f>IF(Assumptions!$B$4="Bull",C11,IF(Assumptions!$B$4="Bear",D11,B11))</f>
        <v>0.08</v>
      </c>
      <c r="F11" t="s">
        <v>55</v>
      </c>
    </row>
    <row r="12" spans="1:6" x14ac:dyDescent="0.25">
      <c r="A12" t="s">
        <v>59</v>
      </c>
      <c r="B12">
        <v>0.12</v>
      </c>
      <c r="C12">
        <v>0.22</v>
      </c>
      <c r="D12">
        <v>0</v>
      </c>
      <c r="E12">
        <f>IF(Assumptions!$B$4="Bull",C12,IF(Assumptions!$B$4="Bear",D12,B12))</f>
        <v>0.12</v>
      </c>
      <c r="F12" t="s">
        <v>55</v>
      </c>
    </row>
    <row r="14" spans="1:8" x14ac:dyDescent="0.25">
      <c r="A14" t="s">
        <v>60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</row>
    <row r="15" spans="1:6" x14ac:dyDescent="0.25">
      <c r="A15" t="s">
        <v>48</v>
      </c>
      <c r="B15" t="s">
        <v>61</v>
      </c>
      <c r="C15" t="s">
        <v>62</v>
      </c>
      <c r="D15" t="s">
        <v>63</v>
      </c>
      <c r="E15" t="s">
        <v>64</v>
      </c>
      <c r="F15" t="s">
        <v>53</v>
      </c>
    </row>
    <row r="16" spans="1:6" x14ac:dyDescent="0.25">
      <c r="A16" t="s">
        <v>54</v>
      </c>
      <c r="B16">
        <v>0.02</v>
      </c>
      <c r="C16">
        <v>0.05</v>
      </c>
      <c r="D16">
        <v>0</v>
      </c>
      <c r="E16">
        <f>IF(Assumptions!$B$4="Bull",C16,IF(Assumptions!$B$4="Bear",D16,B16))</f>
        <v>0.02</v>
      </c>
      <c r="F16" t="s">
        <v>65</v>
      </c>
    </row>
    <row r="17" spans="1:6" x14ac:dyDescent="0.25">
      <c r="A17" t="s">
        <v>56</v>
      </c>
      <c r="B17">
        <v>0.02</v>
      </c>
      <c r="C17">
        <v>0.04</v>
      </c>
      <c r="D17">
        <v>0</v>
      </c>
      <c r="E17">
        <f>IF(Assumptions!$B$4="Bull",C17,IF(Assumptions!$B$4="Bear",D17,B17))</f>
        <v>0.02</v>
      </c>
      <c r="F17" t="s">
        <v>65</v>
      </c>
    </row>
    <row r="18" spans="1:6" x14ac:dyDescent="0.25">
      <c r="A18" t="s">
        <v>57</v>
      </c>
      <c r="B18">
        <v>0.03</v>
      </c>
      <c r="C18">
        <v>0.06</v>
      </c>
      <c r="D18">
        <v>0.01</v>
      </c>
      <c r="E18">
        <f>IF(Assumptions!$B$4="Bull",C18,IF(Assumptions!$B$4="Bear",D18,B18))</f>
        <v>0.03</v>
      </c>
      <c r="F18" t="s">
        <v>65</v>
      </c>
    </row>
    <row r="19" spans="1:6" x14ac:dyDescent="0.25">
      <c r="A19" t="s">
        <v>58</v>
      </c>
      <c r="B19">
        <v>0.02</v>
      </c>
      <c r="C19">
        <v>0.05</v>
      </c>
      <c r="D19">
        <v>0</v>
      </c>
      <c r="E19">
        <f>IF(Assumptions!$B$4="Bull",C19,IF(Assumptions!$B$4="Bear",D19,B19))</f>
        <v>0.02</v>
      </c>
      <c r="F19" t="s">
        <v>65</v>
      </c>
    </row>
    <row r="20" spans="1:6" x14ac:dyDescent="0.25">
      <c r="A20" t="s">
        <v>59</v>
      </c>
      <c r="B20">
        <v>0.02</v>
      </c>
      <c r="C20">
        <v>0.04</v>
      </c>
      <c r="D20">
        <v>0.01</v>
      </c>
      <c r="E20">
        <f>IF(Assumptions!$B$4="Bull",C20,IF(Assumptions!$B$4="Bear",D20,B20))</f>
        <v>0.02</v>
      </c>
      <c r="F20" t="s">
        <v>65</v>
      </c>
    </row>
    <row r="22" spans="1:8" x14ac:dyDescent="0.25">
      <c r="A22" t="s">
        <v>66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</row>
    <row r="23" spans="1:6" x14ac:dyDescent="0.25">
      <c r="A23" t="s">
        <v>67</v>
      </c>
      <c r="B23" t="s">
        <v>45</v>
      </c>
      <c r="C23" t="s">
        <v>68</v>
      </c>
      <c r="D23" t="s">
        <v>69</v>
      </c>
      <c r="E23" t="s">
        <v>70</v>
      </c>
      <c r="F23" t="s">
        <v>53</v>
      </c>
    </row>
    <row r="24" spans="1:6" x14ac:dyDescent="0.25">
      <c r="A24" t="s">
        <v>71</v>
      </c>
      <c r="B24">
        <v>0.6</v>
      </c>
      <c r="C24">
        <v>0.58</v>
      </c>
      <c r="D24">
        <v>0.62</v>
      </c>
      <c r="E24">
        <f>IF(Assumptions!$B$4="Bull",C24,IF(Assumptions!$B$4="Bear",D24,B24))</f>
        <v>0.6</v>
      </c>
      <c r="F24" t="s">
        <v>72</v>
      </c>
    </row>
    <row r="25" spans="1:6" x14ac:dyDescent="0.25">
      <c r="A25" t="s">
        <v>73</v>
      </c>
      <c r="B25">
        <v>0.04</v>
      </c>
      <c r="C25">
        <v>0.05</v>
      </c>
      <c r="D25">
        <v>0.035</v>
      </c>
      <c r="E25">
        <f>IF(Assumptions!$B$4="Bull",C25,IF(Assumptions!$B$4="Bear",D25,B25))</f>
        <v>0.04</v>
      </c>
      <c r="F25" t="s">
        <v>74</v>
      </c>
    </row>
    <row r="26" spans="1:6" x14ac:dyDescent="0.25">
      <c r="A26" t="s">
        <v>75</v>
      </c>
      <c r="B26">
        <v>18</v>
      </c>
      <c r="C26">
        <v>20</v>
      </c>
      <c r="D26">
        <v>15</v>
      </c>
      <c r="E26">
        <f>IF(Assumptions!$B$4="Bull",C26,IF(Assumptions!$B$4="Bear",D26,B26))</f>
        <v>18</v>
      </c>
      <c r="F2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FormatPr defaultRowHeight="15" outlineLevelRow="0" outlineLevelCol="0" x14ac:dyDescent="55"/>
  <sheetData>
    <row r="1" spans="1:6" x14ac:dyDescent="0.25">
      <c r="A1" t="s">
        <v>77</v>
      </c>
      <c r="B1" t="s">
        <v>77</v>
      </c>
      <c r="C1" t="s">
        <v>77</v>
      </c>
      <c r="D1" t="s">
        <v>77</v>
      </c>
      <c r="E1" t="s">
        <v>77</v>
      </c>
      <c r="F1" t="s">
        <v>77</v>
      </c>
    </row>
    <row r="2" spans="1:6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</row>
    <row r="3" spans="1:5" x14ac:dyDescent="0.25">
      <c r="A3" t="s">
        <v>84</v>
      </c>
      <c r="B3" t="s">
        <v>54</v>
      </c>
      <c r="C3">
        <v>101</v>
      </c>
      <c r="D3" t="s">
        <v>85</v>
      </c>
      <c r="E3">
        <v>6001</v>
      </c>
    </row>
    <row r="4" spans="1:5" x14ac:dyDescent="0.25">
      <c r="A4" t="s">
        <v>84</v>
      </c>
      <c r="B4" t="s">
        <v>54</v>
      </c>
      <c r="C4">
        <v>103</v>
      </c>
      <c r="D4" t="s">
        <v>86</v>
      </c>
      <c r="E4" t="s">
        <v>87</v>
      </c>
    </row>
    <row r="5" spans="1:5" x14ac:dyDescent="0.25">
      <c r="A5" t="s">
        <v>88</v>
      </c>
      <c r="B5" t="s">
        <v>89</v>
      </c>
      <c r="C5">
        <v>126</v>
      </c>
      <c r="D5" t="s">
        <v>90</v>
      </c>
      <c r="E5" t="s">
        <v>91</v>
      </c>
    </row>
    <row r="6" spans="1:5" x14ac:dyDescent="0.25">
      <c r="A6" t="s">
        <v>84</v>
      </c>
      <c r="B6" t="s">
        <v>92</v>
      </c>
      <c r="C6" t="s">
        <v>93</v>
      </c>
      <c r="D6" t="s">
        <v>85</v>
      </c>
      <c r="E6">
        <v>6001</v>
      </c>
    </row>
    <row r="7" spans="1:5" x14ac:dyDescent="0.25">
      <c r="A7" t="s">
        <v>84</v>
      </c>
      <c r="B7" t="s">
        <v>92</v>
      </c>
      <c r="C7" t="s">
        <v>94</v>
      </c>
      <c r="D7" t="s">
        <v>95</v>
      </c>
      <c r="E7" t="s">
        <v>96</v>
      </c>
    </row>
    <row r="8" spans="1:5" x14ac:dyDescent="0.25">
      <c r="A8" t="s">
        <v>84</v>
      </c>
      <c r="B8" t="s">
        <v>92</v>
      </c>
      <c r="C8" t="s">
        <v>97</v>
      </c>
      <c r="D8" t="s">
        <v>86</v>
      </c>
      <c r="E8">
        <v>6002</v>
      </c>
    </row>
    <row r="9" spans="1:5" x14ac:dyDescent="0.25">
      <c r="A9" t="s">
        <v>88</v>
      </c>
      <c r="B9" t="s">
        <v>89</v>
      </c>
      <c r="C9" t="s">
        <v>98</v>
      </c>
      <c r="D9" t="s">
        <v>90</v>
      </c>
      <c r="E9" t="s">
        <v>91</v>
      </c>
    </row>
    <row r="10" spans="1:5" x14ac:dyDescent="0.25">
      <c r="A10" t="s">
        <v>88</v>
      </c>
      <c r="B10" t="s">
        <v>89</v>
      </c>
      <c r="C10" t="s">
        <v>99</v>
      </c>
      <c r="D10" t="s">
        <v>100</v>
      </c>
      <c r="E10">
        <v>6004000000000</v>
      </c>
    </row>
    <row r="11" spans="1:5" x14ac:dyDescent="0.25">
      <c r="A11" t="s">
        <v>88</v>
      </c>
      <c r="B11" t="s">
        <v>89</v>
      </c>
      <c r="C11" t="s">
        <v>101</v>
      </c>
      <c r="D11" t="s">
        <v>102</v>
      </c>
      <c r="E11" t="s">
        <v>103</v>
      </c>
    </row>
    <row r="12" spans="1:5" x14ac:dyDescent="0.25">
      <c r="A12" t="s">
        <v>88</v>
      </c>
      <c r="B12" t="s">
        <v>104</v>
      </c>
      <c r="C12" t="s">
        <v>105</v>
      </c>
      <c r="D12" t="s">
        <v>106</v>
      </c>
      <c r="E12" t="s">
        <v>107</v>
      </c>
    </row>
    <row r="13" spans="1:5" x14ac:dyDescent="0.25">
      <c r="A13" t="s">
        <v>88</v>
      </c>
      <c r="B13" t="s">
        <v>104</v>
      </c>
      <c r="C13" t="s">
        <v>108</v>
      </c>
      <c r="D13" t="s">
        <v>109</v>
      </c>
      <c r="E13" t="s">
        <v>110</v>
      </c>
    </row>
    <row r="14" spans="1:5" x14ac:dyDescent="0.25">
      <c r="A14" t="s">
        <v>88</v>
      </c>
      <c r="B14" t="s">
        <v>104</v>
      </c>
      <c r="C14" t="s">
        <v>111</v>
      </c>
      <c r="D14" t="s">
        <v>112</v>
      </c>
      <c r="E14" t="s">
        <v>113</v>
      </c>
    </row>
    <row r="15" spans="1:5" x14ac:dyDescent="0.25">
      <c r="A15" t="s">
        <v>88</v>
      </c>
      <c r="B15" t="s">
        <v>104</v>
      </c>
      <c r="C15" t="s">
        <v>114</v>
      </c>
      <c r="D15" t="s">
        <v>115</v>
      </c>
      <c r="E15">
        <v>600500000</v>
      </c>
    </row>
    <row r="16" spans="1:5" x14ac:dyDescent="0.25">
      <c r="A16" t="s">
        <v>88</v>
      </c>
      <c r="B16" t="s">
        <v>104</v>
      </c>
      <c r="C16" t="s">
        <v>116</v>
      </c>
      <c r="D16" t="s">
        <v>117</v>
      </c>
      <c r="E16">
        <v>6005000000</v>
      </c>
    </row>
    <row r="17" spans="1:5" x14ac:dyDescent="0.25">
      <c r="A17" t="s">
        <v>88</v>
      </c>
      <c r="B17" t="s">
        <v>104</v>
      </c>
      <c r="C17" t="s">
        <v>118</v>
      </c>
      <c r="D17" t="s">
        <v>119</v>
      </c>
      <c r="E17">
        <v>6005000</v>
      </c>
    </row>
    <row r="18" spans="1:5" x14ac:dyDescent="0.25">
      <c r="A18" t="s">
        <v>88</v>
      </c>
      <c r="B18" t="s">
        <v>58</v>
      </c>
      <c r="C18" t="s">
        <v>120</v>
      </c>
      <c r="D18" t="s">
        <v>121</v>
      </c>
      <c r="E18">
        <v>6003000000000</v>
      </c>
    </row>
    <row r="19" spans="1:5" x14ac:dyDescent="0.25">
      <c r="A19" t="s">
        <v>88</v>
      </c>
      <c r="B19" t="s">
        <v>58</v>
      </c>
      <c r="C19" t="s">
        <v>122</v>
      </c>
      <c r="D19" t="s">
        <v>123</v>
      </c>
      <c r="E19" t="s">
        <v>124</v>
      </c>
    </row>
    <row r="20" spans="1:5" x14ac:dyDescent="0.25">
      <c r="A20" t="s">
        <v>88</v>
      </c>
      <c r="B20" t="s">
        <v>58</v>
      </c>
      <c r="C20" t="s">
        <v>125</v>
      </c>
      <c r="D20" t="s">
        <v>126</v>
      </c>
      <c r="E20" t="s">
        <v>127</v>
      </c>
    </row>
    <row r="21" spans="1:5" x14ac:dyDescent="0.25">
      <c r="A21" t="s">
        <v>128</v>
      </c>
      <c r="B21" t="s">
        <v>57</v>
      </c>
      <c r="C21" t="s">
        <v>129</v>
      </c>
      <c r="D21" t="s">
        <v>130</v>
      </c>
      <c r="E21" t="s">
        <v>131</v>
      </c>
    </row>
    <row r="22" spans="1:5" x14ac:dyDescent="0.25">
      <c r="A22" t="s">
        <v>128</v>
      </c>
      <c r="B22" t="s">
        <v>57</v>
      </c>
      <c r="C22" t="s">
        <v>132</v>
      </c>
      <c r="D22" t="s">
        <v>133</v>
      </c>
      <c r="E22" t="s">
        <v>134</v>
      </c>
    </row>
    <row r="23" spans="1:5" x14ac:dyDescent="0.25">
      <c r="A23" t="s">
        <v>128</v>
      </c>
      <c r="B23" t="s">
        <v>57</v>
      </c>
      <c r="C23" t="s">
        <v>135</v>
      </c>
      <c r="D23" t="s">
        <v>136</v>
      </c>
      <c r="E23" t="s">
        <v>137</v>
      </c>
    </row>
    <row r="24" spans="1:5" x14ac:dyDescent="0.25">
      <c r="A24" t="s">
        <v>128</v>
      </c>
      <c r="B24" t="s">
        <v>138</v>
      </c>
      <c r="C24" t="s">
        <v>139</v>
      </c>
      <c r="D24" t="s">
        <v>140</v>
      </c>
      <c r="E24" t="s">
        <v>141</v>
      </c>
    </row>
    <row r="25" spans="1:5" x14ac:dyDescent="0.25">
      <c r="A25" t="s">
        <v>128</v>
      </c>
      <c r="B25" t="s">
        <v>138</v>
      </c>
      <c r="C25" t="s">
        <v>142</v>
      </c>
      <c r="D25" t="s">
        <v>143</v>
      </c>
      <c r="E25" t="s">
        <v>144</v>
      </c>
    </row>
    <row r="26" spans="1:5" x14ac:dyDescent="0.25">
      <c r="A26" t="s">
        <v>128</v>
      </c>
      <c r="B26" t="s">
        <v>138</v>
      </c>
      <c r="C26" t="s">
        <v>145</v>
      </c>
      <c r="D26" t="s">
        <v>146</v>
      </c>
      <c r="E26" t="s">
        <v>147</v>
      </c>
    </row>
    <row r="27" spans="1:5" x14ac:dyDescent="0.25">
      <c r="A27" t="s">
        <v>148</v>
      </c>
      <c r="B27" t="s">
        <v>149</v>
      </c>
      <c r="C27" t="s">
        <v>150</v>
      </c>
      <c r="D27" t="s">
        <v>151</v>
      </c>
      <c r="E27">
        <v>6022</v>
      </c>
    </row>
    <row r="28" spans="1:5" x14ac:dyDescent="0.25">
      <c r="A28" t="s">
        <v>148</v>
      </c>
      <c r="B28" t="s">
        <v>149</v>
      </c>
      <c r="C28" t="s">
        <v>152</v>
      </c>
      <c r="D28" t="s">
        <v>153</v>
      </c>
      <c r="E28" t="s">
        <v>154</v>
      </c>
    </row>
    <row r="29" spans="1:5" x14ac:dyDescent="0.25">
      <c r="A29" t="s">
        <v>148</v>
      </c>
      <c r="B29" t="s">
        <v>149</v>
      </c>
      <c r="C29" t="s">
        <v>155</v>
      </c>
      <c r="D29" t="s">
        <v>156</v>
      </c>
      <c r="E29" t="s">
        <v>157</v>
      </c>
    </row>
    <row r="30" spans="1:5" x14ac:dyDescent="0.25">
      <c r="A30" t="s">
        <v>148</v>
      </c>
      <c r="B30" t="s">
        <v>149</v>
      </c>
      <c r="C30" t="s">
        <v>158</v>
      </c>
      <c r="D30" t="s">
        <v>159</v>
      </c>
      <c r="E30" t="s">
        <v>160</v>
      </c>
    </row>
    <row r="31" spans="1:5" x14ac:dyDescent="0.25">
      <c r="A31" t="s">
        <v>148</v>
      </c>
      <c r="B31" t="s">
        <v>149</v>
      </c>
      <c r="C31" t="s">
        <v>161</v>
      </c>
      <c r="D31" t="s">
        <v>162</v>
      </c>
      <c r="E31" t="s">
        <v>163</v>
      </c>
    </row>
    <row r="32" spans="1:5" x14ac:dyDescent="0.25">
      <c r="A32" t="s">
        <v>148</v>
      </c>
      <c r="B32" t="s">
        <v>149</v>
      </c>
      <c r="C32" t="s">
        <v>164</v>
      </c>
      <c r="D32" t="s">
        <v>165</v>
      </c>
      <c r="E32" t="s">
        <v>166</v>
      </c>
    </row>
    <row r="33" spans="1:5" x14ac:dyDescent="0.25">
      <c r="A33" t="s">
        <v>84</v>
      </c>
      <c r="B33" t="s">
        <v>167</v>
      </c>
      <c r="C33" t="s">
        <v>168</v>
      </c>
      <c r="D33" t="s">
        <v>169</v>
      </c>
      <c r="E33">
        <v>6005000000000</v>
      </c>
    </row>
    <row r="34" spans="1:5" x14ac:dyDescent="0.25">
      <c r="A34" t="s">
        <v>84</v>
      </c>
      <c r="B34" t="s">
        <v>167</v>
      </c>
      <c r="C34" t="s">
        <v>170</v>
      </c>
      <c r="D34" t="s">
        <v>171</v>
      </c>
      <c r="E34">
        <v>6005</v>
      </c>
    </row>
    <row r="35" spans="1:5" x14ac:dyDescent="0.25">
      <c r="A35" t="s">
        <v>84</v>
      </c>
      <c r="B35" t="s">
        <v>167</v>
      </c>
      <c r="C35" t="s">
        <v>172</v>
      </c>
      <c r="D35" t="s">
        <v>173</v>
      </c>
      <c r="E35" t="s">
        <v>174</v>
      </c>
    </row>
    <row r="36" spans="1:5" x14ac:dyDescent="0.25">
      <c r="A36" t="s">
        <v>84</v>
      </c>
      <c r="B36" t="s">
        <v>167</v>
      </c>
      <c r="C36" t="s">
        <v>175</v>
      </c>
      <c r="D36" t="s">
        <v>176</v>
      </c>
      <c r="E36" t="s">
        <v>177</v>
      </c>
    </row>
    <row r="37" spans="1:5" x14ac:dyDescent="0.25">
      <c r="A37" t="s">
        <v>84</v>
      </c>
      <c r="B37" t="s">
        <v>167</v>
      </c>
      <c r="C37" t="s">
        <v>178</v>
      </c>
      <c r="D37" t="s">
        <v>179</v>
      </c>
      <c r="E37" t="s">
        <v>180</v>
      </c>
    </row>
    <row r="38" spans="1:5" x14ac:dyDescent="0.25">
      <c r="A38" t="s">
        <v>84</v>
      </c>
      <c r="B38" t="s">
        <v>167</v>
      </c>
      <c r="C38" t="s">
        <v>181</v>
      </c>
      <c r="D38" t="s">
        <v>182</v>
      </c>
      <c r="E38" t="s">
        <v>183</v>
      </c>
    </row>
    <row r="39" spans="1:5" x14ac:dyDescent="0.25">
      <c r="A39" t="s">
        <v>84</v>
      </c>
      <c r="B39" t="s">
        <v>167</v>
      </c>
      <c r="C39" t="s">
        <v>184</v>
      </c>
      <c r="D39" t="s">
        <v>185</v>
      </c>
      <c r="E39" t="s">
        <v>186</v>
      </c>
    </row>
    <row r="40" spans="1:3" x14ac:dyDescent="0.25">
      <c r="A40" t="s">
        <v>187</v>
      </c>
      <c r="B40" t="s">
        <v>188</v>
      </c>
      <c r="C40" t="s">
        <v>189</v>
      </c>
    </row>
    <row r="41" spans="1:3" x14ac:dyDescent="0.25">
      <c r="A41">
        <v>1</v>
      </c>
      <c r="B41">
        <v>101</v>
      </c>
      <c r="C41">
        <v>701</v>
      </c>
    </row>
    <row r="42" spans="1:3" x14ac:dyDescent="0.25">
      <c r="A42">
        <v>2</v>
      </c>
      <c r="B42">
        <v>126</v>
      </c>
      <c r="C42">
        <v>702</v>
      </c>
    </row>
    <row r="43" spans="1:3" x14ac:dyDescent="0.25">
      <c r="A43">
        <v>3</v>
      </c>
      <c r="B43">
        <v>127</v>
      </c>
      <c r="C43">
        <v>722</v>
      </c>
    </row>
    <row r="44" spans="1:3" x14ac:dyDescent="0.25">
      <c r="A44">
        <v>4</v>
      </c>
      <c r="B44">
        <v>160</v>
      </c>
      <c r="C44">
        <v>723</v>
      </c>
    </row>
    <row r="45" spans="1:3" x14ac:dyDescent="0.25">
      <c r="A45">
        <v>5</v>
      </c>
      <c r="B45">
        <v>120</v>
      </c>
      <c r="C45">
        <v>724</v>
      </c>
    </row>
    <row r="46" spans="1:3" x14ac:dyDescent="0.25">
      <c r="A46">
        <v>6</v>
      </c>
      <c r="B46">
        <v>128</v>
      </c>
      <c r="C46">
        <v>725</v>
      </c>
    </row>
    <row r="47" spans="1:3" x14ac:dyDescent="0.25">
      <c r="A47">
        <v>7</v>
      </c>
      <c r="B47">
        <v>167</v>
      </c>
      <c r="C47">
        <v>732</v>
      </c>
    </row>
    <row r="48" spans="1:3" x14ac:dyDescent="0.25">
      <c r="A48">
        <v>8</v>
      </c>
      <c r="B48">
        <v>168</v>
      </c>
      <c r="C48">
        <v>733</v>
      </c>
    </row>
    <row r="49" spans="1:3" x14ac:dyDescent="0.25">
      <c r="A49">
        <v>9</v>
      </c>
      <c r="B49">
        <v>114</v>
      </c>
      <c r="C49">
        <v>734</v>
      </c>
    </row>
    <row r="50" spans="1:3" x14ac:dyDescent="0.25">
      <c r="A50">
        <v>10</v>
      </c>
      <c r="B50">
        <v>104</v>
      </c>
      <c r="C50">
        <v>735</v>
      </c>
    </row>
    <row r="51" spans="1:3" x14ac:dyDescent="0.25">
      <c r="A51">
        <v>11</v>
      </c>
      <c r="B51">
        <v>140</v>
      </c>
      <c r="C51">
        <v>703</v>
      </c>
    </row>
    <row r="52" spans="1:3" x14ac:dyDescent="0.25">
      <c r="A52">
        <v>12</v>
      </c>
      <c r="C52">
        <v>704</v>
      </c>
    </row>
    <row r="53" spans="1:3" x14ac:dyDescent="0.25">
      <c r="A53">
        <v>13</v>
      </c>
      <c r="C53">
        <v>705</v>
      </c>
    </row>
    <row r="54" spans="1:3" x14ac:dyDescent="0.25">
      <c r="A54">
        <v>14</v>
      </c>
      <c r="C54">
        <v>706</v>
      </c>
    </row>
    <row r="55" spans="1:3" x14ac:dyDescent="0.25">
      <c r="A55">
        <v>15</v>
      </c>
      <c r="C55">
        <v>707</v>
      </c>
    </row>
    <row r="56" spans="1:3" x14ac:dyDescent="0.25">
      <c r="A56">
        <v>16</v>
      </c>
      <c r="C56">
        <v>714</v>
      </c>
    </row>
    <row r="57" spans="1:3" x14ac:dyDescent="0.25">
      <c r="A57">
        <v>17</v>
      </c>
      <c r="C57">
        <v>715</v>
      </c>
    </row>
    <row r="58" spans="1:3" x14ac:dyDescent="0.25">
      <c r="A58">
        <v>18</v>
      </c>
      <c r="C58">
        <v>716</v>
      </c>
    </row>
    <row r="59" spans="1:3" x14ac:dyDescent="0.25">
      <c r="A59">
        <v>19</v>
      </c>
      <c r="C59">
        <v>729</v>
      </c>
    </row>
    <row r="60" spans="1:3" x14ac:dyDescent="0.25">
      <c r="A60">
        <v>20</v>
      </c>
      <c r="C60">
        <v>730</v>
      </c>
    </row>
    <row r="61" spans="1:3" x14ac:dyDescent="0.25">
      <c r="A61">
        <v>21</v>
      </c>
      <c r="C61">
        <v>731</v>
      </c>
    </row>
    <row r="62" spans="1:3" x14ac:dyDescent="0.25">
      <c r="A62">
        <v>22</v>
      </c>
      <c r="C62">
        <v>748</v>
      </c>
    </row>
    <row r="63" spans="1:3" x14ac:dyDescent="0.25">
      <c r="A63">
        <v>23</v>
      </c>
      <c r="C63">
        <v>749</v>
      </c>
    </row>
    <row r="64" spans="1:3" x14ac:dyDescent="0.25">
      <c r="A64">
        <v>24</v>
      </c>
      <c r="C64">
        <v>750</v>
      </c>
    </row>
    <row r="65" spans="1:3" x14ac:dyDescent="0.25">
      <c r="A65">
        <v>25</v>
      </c>
      <c r="C65">
        <v>720</v>
      </c>
    </row>
    <row r="66" spans="1:3" x14ac:dyDescent="0.25">
      <c r="A66">
        <v>26</v>
      </c>
      <c r="C66">
        <v>721</v>
      </c>
    </row>
    <row r="67" spans="1:3" x14ac:dyDescent="0.25">
      <c r="A67">
        <v>27</v>
      </c>
      <c r="C67">
        <v>717</v>
      </c>
    </row>
    <row r="68" spans="1:3" x14ac:dyDescent="0.25">
      <c r="A68">
        <v>28</v>
      </c>
      <c r="C68">
        <v>718</v>
      </c>
    </row>
    <row r="69" spans="1:3" x14ac:dyDescent="0.25">
      <c r="A69">
        <v>29</v>
      </c>
      <c r="C69">
        <v>719</v>
      </c>
    </row>
    <row r="70" spans="1:3" x14ac:dyDescent="0.25">
      <c r="A70">
        <v>30</v>
      </c>
      <c r="C70">
        <v>736</v>
      </c>
    </row>
    <row r="71" spans="1:3" x14ac:dyDescent="0.25">
      <c r="A71">
        <v>31</v>
      </c>
      <c r="C71">
        <v>737</v>
      </c>
    </row>
    <row r="72" spans="1:3" x14ac:dyDescent="0.25">
      <c r="A72">
        <v>32</v>
      </c>
      <c r="C72">
        <v>738</v>
      </c>
    </row>
    <row r="73" spans="1:3" x14ac:dyDescent="0.25">
      <c r="A73">
        <v>33</v>
      </c>
      <c r="C73">
        <v>726</v>
      </c>
    </row>
    <row r="74" spans="1:3" x14ac:dyDescent="0.25">
      <c r="A74">
        <v>34</v>
      </c>
      <c r="C74">
        <v>727</v>
      </c>
    </row>
    <row r="75" spans="1:3" x14ac:dyDescent="0.25">
      <c r="A75">
        <v>35</v>
      </c>
      <c r="C75">
        <v>728</v>
      </c>
    </row>
    <row r="76" spans="1:3" x14ac:dyDescent="0.25">
      <c r="A76">
        <v>36</v>
      </c>
      <c r="C76">
        <v>739</v>
      </c>
    </row>
    <row r="77" spans="1:3" x14ac:dyDescent="0.25">
      <c r="A77">
        <v>37</v>
      </c>
      <c r="C77">
        <v>740</v>
      </c>
    </row>
    <row r="78" spans="1:3" x14ac:dyDescent="0.25">
      <c r="A78">
        <v>38</v>
      </c>
      <c r="C78">
        <v>741</v>
      </c>
    </row>
    <row r="79" spans="1:3" x14ac:dyDescent="0.25">
      <c r="A79">
        <v>39</v>
      </c>
      <c r="C79">
        <v>708</v>
      </c>
    </row>
    <row r="80" spans="1:3" x14ac:dyDescent="0.25">
      <c r="A80">
        <v>40</v>
      </c>
      <c r="C80">
        <v>709</v>
      </c>
    </row>
    <row r="81" spans="1:3" x14ac:dyDescent="0.25">
      <c r="A81">
        <v>41</v>
      </c>
      <c r="C81">
        <v>710</v>
      </c>
    </row>
    <row r="82" spans="1:3" x14ac:dyDescent="0.25">
      <c r="A82">
        <v>42</v>
      </c>
      <c r="C82">
        <v>711</v>
      </c>
    </row>
    <row r="83" spans="1:3" x14ac:dyDescent="0.25">
      <c r="A83">
        <v>43</v>
      </c>
      <c r="C83">
        <v>712</v>
      </c>
    </row>
    <row r="84" spans="1:3" x14ac:dyDescent="0.25">
      <c r="A84">
        <v>44</v>
      </c>
      <c r="C84">
        <v>713</v>
      </c>
    </row>
    <row r="85" spans="1:3" x14ac:dyDescent="0.25">
      <c r="A85">
        <v>45</v>
      </c>
      <c r="C85">
        <v>742</v>
      </c>
    </row>
    <row r="86" spans="1:3" x14ac:dyDescent="0.25">
      <c r="A86">
        <v>46</v>
      </c>
      <c r="C86">
        <v>743</v>
      </c>
    </row>
    <row r="87" spans="1:3" x14ac:dyDescent="0.25">
      <c r="A87">
        <v>47</v>
      </c>
      <c r="C87">
        <v>744</v>
      </c>
    </row>
    <row r="88" spans="1:3" x14ac:dyDescent="0.25">
      <c r="A88">
        <v>48</v>
      </c>
      <c r="C88">
        <v>745</v>
      </c>
    </row>
    <row r="89" spans="1:3" x14ac:dyDescent="0.25">
      <c r="A89">
        <v>49</v>
      </c>
      <c r="C89">
        <v>746</v>
      </c>
    </row>
    <row r="90" spans="1:3" x14ac:dyDescent="0.25">
      <c r="A90">
        <v>50</v>
      </c>
      <c r="C90">
        <v>747</v>
      </c>
    </row>
    <row r="91" spans="1:3" x14ac:dyDescent="0.25">
      <c r="A91">
        <v>51</v>
      </c>
      <c r="C91">
        <v>751</v>
      </c>
    </row>
    <row r="92" spans="1:3" x14ac:dyDescent="0.25">
      <c r="A92">
        <v>52</v>
      </c>
      <c r="C92">
        <v>752</v>
      </c>
    </row>
    <row r="93" spans="1:3" x14ac:dyDescent="0.25">
      <c r="A93">
        <v>53</v>
      </c>
      <c r="C93">
        <v>753</v>
      </c>
    </row>
    <row r="94" spans="1:3" x14ac:dyDescent="0.25">
      <c r="A94">
        <v>54</v>
      </c>
      <c r="C94">
        <v>754</v>
      </c>
    </row>
    <row r="95" spans="1:3" x14ac:dyDescent="0.25">
      <c r="A95">
        <v>55</v>
      </c>
      <c r="C95">
        <v>755</v>
      </c>
    </row>
    <row r="96" spans="1:3" x14ac:dyDescent="0.25">
      <c r="A96">
        <v>56</v>
      </c>
      <c r="C96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  <c r="G1" t="s">
        <v>190</v>
      </c>
      <c r="H1" t="s">
        <v>190</v>
      </c>
      <c r="I1" t="s">
        <v>190</v>
      </c>
    </row>
    <row r="2" spans="1:9" x14ac:dyDescent="0.25">
      <c r="A2" t="s">
        <v>48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</row>
    <row r="3" spans="1:9" x14ac:dyDescent="0.25">
      <c r="A3" t="s">
        <v>54</v>
      </c>
      <c r="B3">
        <v>112168</v>
      </c>
      <c r="C3">
        <v>0.14</v>
      </c>
      <c r="D3">
        <f>B3*C3*2</f>
        <v>31407.04</v>
      </c>
      <c r="E3">
        <v>156480</v>
      </c>
      <c r="F3">
        <f>E3-D3-B3</f>
        <v>12904.96</v>
      </c>
      <c r="G3">
        <v>177367</v>
      </c>
      <c r="H3">
        <f>IFERROR(B3/G3,"-")</f>
        <v>0.632406253699956</v>
      </c>
      <c r="I3">
        <f>B3*(1+VLOOKUP(A3,Assumptions!$A$16:$E$20,5,0))</f>
        <v>114411.36</v>
      </c>
    </row>
    <row r="4" spans="1:9" x14ac:dyDescent="0.25">
      <c r="A4" t="s">
        <v>56</v>
      </c>
      <c r="B4">
        <v>147156</v>
      </c>
      <c r="C4">
        <v>0.14</v>
      </c>
      <c r="D4">
        <f>B4*C4*2</f>
        <v>41203.68</v>
      </c>
      <c r="E4">
        <v>202960</v>
      </c>
      <c r="F4">
        <f>E4-D4-B4</f>
        <v>14600.32</v>
      </c>
      <c r="G4">
        <v>227974</v>
      </c>
      <c r="H4">
        <f>IFERROR(B4/G4,"-")</f>
        <v>0.645494661671945</v>
      </c>
      <c r="I4">
        <f>B4*(1+VLOOKUP(A4,Assumptions!$A$16:$E$20,5,0))</f>
        <v>150099.12</v>
      </c>
    </row>
    <row r="5" spans="1:9" x14ac:dyDescent="0.25">
      <c r="A5" t="s">
        <v>58</v>
      </c>
      <c r="B5">
        <v>152511</v>
      </c>
      <c r="C5">
        <v>0.14</v>
      </c>
      <c r="D5">
        <f>B5*C5*2</f>
        <v>42703.08</v>
      </c>
      <c r="E5">
        <v>210106</v>
      </c>
      <c r="F5">
        <f>E5-D5-B5</f>
        <v>14891.92</v>
      </c>
      <c r="G5">
        <v>235877</v>
      </c>
      <c r="H5">
        <f>IFERROR(B5/G5,"-")</f>
        <v>0.646570034382326</v>
      </c>
      <c r="I5">
        <f>B5*(1+VLOOKUP(A5,Assumptions!$A$16:$E$20,5,0))</f>
        <v>155561.22</v>
      </c>
    </row>
    <row r="6" spans="1:9" x14ac:dyDescent="0.25">
      <c r="A6" t="s">
        <v>57</v>
      </c>
      <c r="B6">
        <v>152219</v>
      </c>
      <c r="C6">
        <v>0.14</v>
      </c>
      <c r="D6">
        <f>B6*C6*2</f>
        <v>42621.32</v>
      </c>
      <c r="E6">
        <v>214941</v>
      </c>
      <c r="F6">
        <f>E6-D6-B6</f>
        <v>20100.68</v>
      </c>
      <c r="G6">
        <v>250318</v>
      </c>
      <c r="H6">
        <f>IFERROR(B6/G6,"-")</f>
        <v>0.608102493628105</v>
      </c>
      <c r="I6">
        <f>B6*(1+VLOOKUP(A6,Assumptions!$A$16:$E$20,5,0))</f>
        <v>156785.57</v>
      </c>
    </row>
    <row r="7" spans="1:9" x14ac:dyDescent="0.25">
      <c r="A7" t="s">
        <v>59</v>
      </c>
      <c r="B7">
        <v>214564</v>
      </c>
      <c r="C7">
        <v>0.14</v>
      </c>
      <c r="D7">
        <f>B7*C7*2</f>
        <v>60077.92</v>
      </c>
      <c r="E7">
        <v>303309</v>
      </c>
      <c r="F7">
        <f>E7-D7-B7</f>
        <v>28667.08</v>
      </c>
      <c r="G7">
        <v>346492</v>
      </c>
      <c r="H7">
        <f>IFERROR(B7/G7,"-")</f>
        <v>0.619246620412593</v>
      </c>
      <c r="I7">
        <f>B7*(1+VLOOKUP(A7,Assumptions!$A$16:$E$20,5,0))</f>
        <v>218855.28</v>
      </c>
    </row>
    <row r="9" spans="1:9" x14ac:dyDescent="0.25">
      <c r="A9" t="s">
        <v>199</v>
      </c>
      <c r="B9" t="s">
        <v>199</v>
      </c>
      <c r="C9" t="s">
        <v>199</v>
      </c>
      <c r="D9" t="s">
        <v>199</v>
      </c>
      <c r="E9" t="s">
        <v>199</v>
      </c>
      <c r="F9" t="s">
        <v>199</v>
      </c>
      <c r="G9" t="s">
        <v>199</v>
      </c>
      <c r="H9" t="s">
        <v>199</v>
      </c>
      <c r="I9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FormatPr defaultRowHeight="15" outlineLevelRow="0" outlineLevelCol="0" x14ac:dyDescent="55"/>
  <sheetData>
    <row r="1" spans="1:16" x14ac:dyDescent="0.25">
      <c r="A1" t="s">
        <v>200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 t="s">
        <v>200</v>
      </c>
    </row>
    <row r="2" spans="1:16" x14ac:dyDescent="0.25">
      <c r="A2" t="s">
        <v>48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 t="s">
        <v>215</v>
      </c>
    </row>
    <row r="3" spans="1:16" x14ac:dyDescent="0.25">
      <c r="A3" t="s">
        <v>216</v>
      </c>
      <c r="B3" t="s">
        <v>216</v>
      </c>
      <c r="C3" t="s">
        <v>216</v>
      </c>
      <c r="D3" t="s">
        <v>216</v>
      </c>
      <c r="E3" t="s">
        <v>216</v>
      </c>
      <c r="F3" t="s">
        <v>216</v>
      </c>
      <c r="G3" t="s">
        <v>216</v>
      </c>
      <c r="H3" t="s">
        <v>216</v>
      </c>
      <c r="I3" t="s">
        <v>216</v>
      </c>
      <c r="J3" t="s">
        <v>216</v>
      </c>
      <c r="K3" t="s">
        <v>216</v>
      </c>
      <c r="L3" t="s">
        <v>216</v>
      </c>
      <c r="M3" t="s">
        <v>216</v>
      </c>
      <c r="N3" t="s">
        <v>216</v>
      </c>
      <c r="O3" t="s">
        <v>216</v>
      </c>
      <c r="P3" t="s">
        <v>216</v>
      </c>
    </row>
    <row r="4" spans="1:16" x14ac:dyDescent="0.25">
      <c r="A4" t="s">
        <v>54</v>
      </c>
      <c r="B4" t="s">
        <v>217</v>
      </c>
      <c r="C4">
        <v>600000</v>
      </c>
      <c r="D4">
        <v>6300000</v>
      </c>
      <c r="E4">
        <v>47897</v>
      </c>
      <c r="F4">
        <v>58909</v>
      </c>
      <c r="G4">
        <v>48613</v>
      </c>
      <c r="H4">
        <v>47897</v>
      </c>
      <c r="I4">
        <v>58909</v>
      </c>
      <c r="J4">
        <v>48613</v>
      </c>
      <c r="K4">
        <v>53546</v>
      </c>
      <c r="L4">
        <v>54097</v>
      </c>
      <c r="M4">
        <v>54411</v>
      </c>
      <c r="N4">
        <v>55931</v>
      </c>
      <c r="O4">
        <f>SUM(C4:N4)</f>
        <v>7428823</v>
      </c>
      <c r="P4" t="s">
        <v>218</v>
      </c>
    </row>
    <row r="5" spans="1:16" x14ac:dyDescent="0.25">
      <c r="A5" t="s">
        <v>56</v>
      </c>
      <c r="B5" t="s">
        <v>217</v>
      </c>
      <c r="C5">
        <v>9931</v>
      </c>
      <c r="D5">
        <v>10998</v>
      </c>
      <c r="E5">
        <v>10999</v>
      </c>
      <c r="F5">
        <v>9931</v>
      </c>
      <c r="G5">
        <v>10998</v>
      </c>
      <c r="H5">
        <v>10999</v>
      </c>
      <c r="I5">
        <v>11638</v>
      </c>
      <c r="J5">
        <v>11763</v>
      </c>
      <c r="K5">
        <v>11752</v>
      </c>
      <c r="L5">
        <v>10669</v>
      </c>
      <c r="M5">
        <v>11457</v>
      </c>
      <c r="N5">
        <v>10856</v>
      </c>
      <c r="O5">
        <f>SUM(C5:N5)</f>
        <v>131991</v>
      </c>
      <c r="P5" t="s">
        <v>218</v>
      </c>
    </row>
    <row r="6" spans="1:16" x14ac:dyDescent="0.25">
      <c r="A6" t="s">
        <v>57</v>
      </c>
      <c r="B6" t="s">
        <v>217</v>
      </c>
      <c r="C6">
        <v>28468</v>
      </c>
      <c r="D6">
        <v>34259</v>
      </c>
      <c r="E6">
        <v>25674</v>
      </c>
      <c r="F6">
        <v>28468</v>
      </c>
      <c r="G6">
        <v>34259</v>
      </c>
      <c r="H6">
        <v>25674</v>
      </c>
      <c r="I6">
        <v>32343</v>
      </c>
      <c r="J6">
        <v>28971</v>
      </c>
      <c r="K6">
        <v>33409</v>
      </c>
      <c r="L6">
        <v>32729</v>
      </c>
      <c r="M6">
        <v>28949</v>
      </c>
      <c r="N6">
        <v>33426</v>
      </c>
      <c r="O6">
        <f>SUM(C6:N6)</f>
        <v>366629</v>
      </c>
      <c r="P6" t="s">
        <v>218</v>
      </c>
    </row>
    <row r="7" spans="1:16" x14ac:dyDescent="0.25">
      <c r="A7" t="s">
        <v>58</v>
      </c>
      <c r="B7" t="s">
        <v>217</v>
      </c>
      <c r="C7">
        <v>2651</v>
      </c>
      <c r="D7">
        <v>4743</v>
      </c>
      <c r="E7">
        <v>4396</v>
      </c>
      <c r="F7">
        <v>2651</v>
      </c>
      <c r="G7">
        <v>4743</v>
      </c>
      <c r="H7">
        <v>4396</v>
      </c>
      <c r="I7">
        <v>3966</v>
      </c>
      <c r="J7">
        <v>3294</v>
      </c>
      <c r="K7">
        <v>2592</v>
      </c>
      <c r="L7">
        <v>2534</v>
      </c>
      <c r="M7">
        <v>2931</v>
      </c>
      <c r="N7">
        <v>2949</v>
      </c>
      <c r="O7">
        <f>SUM(C7:N7)</f>
        <v>41846</v>
      </c>
      <c r="P7" t="s">
        <v>218</v>
      </c>
    </row>
    <row r="8" spans="1:16" x14ac:dyDescent="0.25">
      <c r="A8" t="s">
        <v>59</v>
      </c>
      <c r="B8" t="s">
        <v>217</v>
      </c>
      <c r="C8">
        <v>4929</v>
      </c>
      <c r="D8">
        <v>6609</v>
      </c>
      <c r="E8">
        <v>5355</v>
      </c>
      <c r="F8">
        <v>4929</v>
      </c>
      <c r="G8">
        <v>6609</v>
      </c>
      <c r="H8">
        <v>5355</v>
      </c>
      <c r="I8">
        <v>4184</v>
      </c>
      <c r="J8">
        <v>7760</v>
      </c>
      <c r="K8">
        <v>4861</v>
      </c>
      <c r="L8">
        <v>8171</v>
      </c>
      <c r="M8">
        <v>6664</v>
      </c>
      <c r="N8">
        <v>8129</v>
      </c>
      <c r="O8">
        <f>SUM(C8:N8)</f>
        <v>73555</v>
      </c>
      <c r="P8" t="s">
        <v>218</v>
      </c>
    </row>
    <row r="9" spans="1:15" x14ac:dyDescent="0.25">
      <c r="A9" t="s">
        <v>219</v>
      </c>
      <c r="B9" t="s">
        <v>219</v>
      </c>
      <c r="C9">
        <f>SUM(C4:C8)</f>
        <v>645979</v>
      </c>
      <c r="D9">
        <f>SUM(D4:D8)</f>
        <v>6356609</v>
      </c>
      <c r="E9">
        <f>SUM(E4:E8)</f>
        <v>94321</v>
      </c>
      <c r="F9">
        <f>SUM(F4:F8)</f>
        <v>104888</v>
      </c>
      <c r="G9">
        <f>SUM(G4:G8)</f>
        <v>105222</v>
      </c>
      <c r="H9">
        <f>SUM(H4:H8)</f>
        <v>94321</v>
      </c>
      <c r="I9">
        <f>SUM(I4:I8)</f>
        <v>111040</v>
      </c>
      <c r="J9">
        <f>SUM(J4:J8)</f>
        <v>100401</v>
      </c>
      <c r="K9">
        <f>SUM(K4:K8)</f>
        <v>106160</v>
      </c>
      <c r="L9">
        <f>SUM(L4:L8)</f>
        <v>108200</v>
      </c>
      <c r="M9">
        <f>SUM(M4:M8)</f>
        <v>104412</v>
      </c>
      <c r="N9">
        <f>SUM(N4:N8)</f>
        <v>111291</v>
      </c>
      <c r="O9">
        <f>SUM(C9:N9)</f>
        <v>8042844</v>
      </c>
    </row>
    <row r="11" spans="1:16" x14ac:dyDescent="0.25">
      <c r="A11" t="s">
        <v>220</v>
      </c>
      <c r="B11" t="s">
        <v>220</v>
      </c>
      <c r="C11" t="s">
        <v>220</v>
      </c>
      <c r="D11" t="s">
        <v>220</v>
      </c>
      <c r="E11" t="s">
        <v>220</v>
      </c>
      <c r="F11" t="s">
        <v>220</v>
      </c>
      <c r="G11" t="s">
        <v>220</v>
      </c>
      <c r="H11" t="s">
        <v>220</v>
      </c>
      <c r="I11" t="s">
        <v>220</v>
      </c>
      <c r="J11" t="s">
        <v>220</v>
      </c>
      <c r="K11" t="s">
        <v>220</v>
      </c>
      <c r="L11" t="s">
        <v>220</v>
      </c>
      <c r="M11" t="s">
        <v>220</v>
      </c>
      <c r="N11" t="s">
        <v>220</v>
      </c>
      <c r="O11" t="s">
        <v>220</v>
      </c>
      <c r="P11" t="s">
        <v>220</v>
      </c>
    </row>
    <row r="12" spans="1:16" x14ac:dyDescent="0.25">
      <c r="A12" t="s">
        <v>54</v>
      </c>
      <c r="B12" t="s">
        <v>221</v>
      </c>
      <c r="C12">
        <f>ROUND(C4*(1+VLOOKUP(A12,Assumptions!$A$8:$E$12,5,0)),0)</f>
        <v>636000</v>
      </c>
      <c r="D12">
        <f>ROUND(D4*(1+VLOOKUP(A12,Assumptions!$A$8:$E$12,5,0)),0)</f>
        <v>6678000</v>
      </c>
      <c r="E12">
        <f>ROUND(E4*(1+VLOOKUP(A12,Assumptions!$A$8:$E$12,5,0)),0)</f>
        <v>50771</v>
      </c>
      <c r="F12">
        <f>ROUND(F4*(1+VLOOKUP(A12,Assumptions!$A$8:$E$12,5,0)),0)</f>
        <v>62444</v>
      </c>
      <c r="G12">
        <f>ROUND(G4*(1+VLOOKUP(A12,Assumptions!$A$8:$E$12,5,0)),0)</f>
        <v>51530</v>
      </c>
      <c r="H12">
        <f>ROUND(H4*(1+VLOOKUP(A12,Assumptions!$A$8:$E$12,5,0)),0)</f>
        <v>50771</v>
      </c>
      <c r="I12">
        <f>ROUND(I4*(1+VLOOKUP(A12,Assumptions!$A$8:$E$12,5,0)),0)</f>
        <v>62444</v>
      </c>
      <c r="J12">
        <f>ROUND(J4*(1+VLOOKUP(A12,Assumptions!$A$8:$E$12,5,0)),0)</f>
        <v>51530</v>
      </c>
      <c r="K12">
        <f>ROUND(K4*(1+VLOOKUP(A12,Assumptions!$A$8:$E$12,5,0)),0)</f>
        <v>56759</v>
      </c>
      <c r="L12">
        <f>ROUND(L4*(1+VLOOKUP(A12,Assumptions!$A$8:$E$12,5,0)),0)</f>
        <v>57343</v>
      </c>
      <c r="M12">
        <f>ROUND(M4*(1+VLOOKUP(A12,Assumptions!$A$8:$E$12,5,0)),0)</f>
        <v>57676</v>
      </c>
      <c r="N12">
        <f>ROUND(N4*(1+VLOOKUP(A12,Assumptions!$A$8:$E$12,5,0)),0)</f>
        <v>59287</v>
      </c>
      <c r="O12">
        <f>SUM(C12:N12)</f>
        <v>7874555</v>
      </c>
      <c r="P12">
        <f>IFERROR(O12/O4-1,0)</f>
        <v>0.0600003526803641</v>
      </c>
    </row>
    <row r="13" spans="1:16" x14ac:dyDescent="0.25">
      <c r="A13" t="s">
        <v>56</v>
      </c>
      <c r="B13" t="s">
        <v>221</v>
      </c>
      <c r="C13">
        <f>ROUND(C5*(1+VLOOKUP(A13,Assumptions!$A$8:$E$12,5,0)),0)</f>
        <v>10428</v>
      </c>
      <c r="D13">
        <f>ROUND(D5*(1+VLOOKUP(A13,Assumptions!$A$8:$E$12,5,0)),0)</f>
        <v>11548</v>
      </c>
      <c r="E13">
        <f>ROUND(E5*(1+VLOOKUP(A13,Assumptions!$A$8:$E$12,5,0)),0)</f>
        <v>11549</v>
      </c>
      <c r="F13">
        <f>ROUND(F5*(1+VLOOKUP(A13,Assumptions!$A$8:$E$12,5,0)),0)</f>
        <v>10428</v>
      </c>
      <c r="G13">
        <f>ROUND(G5*(1+VLOOKUP(A13,Assumptions!$A$8:$E$12,5,0)),0)</f>
        <v>11548</v>
      </c>
      <c r="H13">
        <f>ROUND(H5*(1+VLOOKUP(A13,Assumptions!$A$8:$E$12,5,0)),0)</f>
        <v>11549</v>
      </c>
      <c r="I13">
        <f>ROUND(I5*(1+VLOOKUP(A13,Assumptions!$A$8:$E$12,5,0)),0)</f>
        <v>12220</v>
      </c>
      <c r="J13">
        <f>ROUND(J5*(1+VLOOKUP(A13,Assumptions!$A$8:$E$12,5,0)),0)</f>
        <v>12351</v>
      </c>
      <c r="K13">
        <f>ROUND(K5*(1+VLOOKUP(A13,Assumptions!$A$8:$E$12,5,0)),0)</f>
        <v>12340</v>
      </c>
      <c r="L13">
        <f>ROUND(L5*(1+VLOOKUP(A13,Assumptions!$A$8:$E$12,5,0)),0)</f>
        <v>11202</v>
      </c>
      <c r="M13">
        <f>ROUND(M5*(1+VLOOKUP(A13,Assumptions!$A$8:$E$12,5,0)),0)</f>
        <v>12030</v>
      </c>
      <c r="N13">
        <f>ROUND(N5*(1+VLOOKUP(A13,Assumptions!$A$8:$E$12,5,0)),0)</f>
        <v>11399</v>
      </c>
      <c r="O13">
        <f>SUM(C13:N13)</f>
        <v>138592</v>
      </c>
      <c r="P13">
        <f>IFERROR(O13/O5-1,0)</f>
        <v>0.0500109855975028</v>
      </c>
    </row>
    <row r="14" spans="1:16" x14ac:dyDescent="0.25">
      <c r="A14" t="s">
        <v>57</v>
      </c>
      <c r="B14" t="s">
        <v>221</v>
      </c>
      <c r="C14">
        <f>ROUND(C6*(1+VLOOKUP(A14,Assumptions!$A$8:$E$12,5,0)),0)</f>
        <v>31315</v>
      </c>
      <c r="D14">
        <f>ROUND(D6*(1+VLOOKUP(A14,Assumptions!$A$8:$E$12,5,0)),0)</f>
        <v>37685</v>
      </c>
      <c r="E14">
        <f>ROUND(E6*(1+VLOOKUP(A14,Assumptions!$A$8:$E$12,5,0)),0)</f>
        <v>28241</v>
      </c>
      <c r="F14">
        <f>ROUND(F6*(1+VLOOKUP(A14,Assumptions!$A$8:$E$12,5,0)),0)</f>
        <v>31315</v>
      </c>
      <c r="G14">
        <f>ROUND(G6*(1+VLOOKUP(A14,Assumptions!$A$8:$E$12,5,0)),0)</f>
        <v>37685</v>
      </c>
      <c r="H14">
        <f>ROUND(H6*(1+VLOOKUP(A14,Assumptions!$A$8:$E$12,5,0)),0)</f>
        <v>28241</v>
      </c>
      <c r="I14">
        <f>ROUND(I6*(1+VLOOKUP(A14,Assumptions!$A$8:$E$12,5,0)),0)</f>
        <v>35577</v>
      </c>
      <c r="J14">
        <f>ROUND(J6*(1+VLOOKUP(A14,Assumptions!$A$8:$E$12,5,0)),0)</f>
        <v>31868</v>
      </c>
      <c r="K14">
        <f>ROUND(K6*(1+VLOOKUP(A14,Assumptions!$A$8:$E$12,5,0)),0)</f>
        <v>36750</v>
      </c>
      <c r="L14">
        <f>ROUND(L6*(1+VLOOKUP(A14,Assumptions!$A$8:$E$12,5,0)),0)</f>
        <v>36002</v>
      </c>
      <c r="M14">
        <f>ROUND(M6*(1+VLOOKUP(A14,Assumptions!$A$8:$E$12,5,0)),0)</f>
        <v>31844</v>
      </c>
      <c r="N14">
        <f>ROUND(N6*(1+VLOOKUP(A14,Assumptions!$A$8:$E$12,5,0)),0)</f>
        <v>36769</v>
      </c>
      <c r="O14">
        <f>SUM(C14:N14)</f>
        <v>403292</v>
      </c>
      <c r="P14">
        <f>IFERROR(O14/O6-1,0)</f>
        <v>0.100000272755292</v>
      </c>
    </row>
    <row r="15" spans="1:16" x14ac:dyDescent="0.25">
      <c r="A15" t="s">
        <v>58</v>
      </c>
      <c r="B15" t="s">
        <v>221</v>
      </c>
      <c r="C15">
        <f>ROUND(C7*(1+VLOOKUP(A15,Assumptions!$A$8:$E$12,5,0)),0)</f>
        <v>2863</v>
      </c>
      <c r="D15">
        <f>ROUND(D7*(1+VLOOKUP(A15,Assumptions!$A$8:$E$12,5,0)),0)</f>
        <v>5122</v>
      </c>
      <c r="E15">
        <f>ROUND(E7*(1+VLOOKUP(A15,Assumptions!$A$8:$E$12,5,0)),0)</f>
        <v>4748</v>
      </c>
      <c r="F15">
        <f>ROUND(F7*(1+VLOOKUP(A15,Assumptions!$A$8:$E$12,5,0)),0)</f>
        <v>2863</v>
      </c>
      <c r="G15">
        <f>ROUND(G7*(1+VLOOKUP(A15,Assumptions!$A$8:$E$12,5,0)),0)</f>
        <v>5122</v>
      </c>
      <c r="H15">
        <f>ROUND(H7*(1+VLOOKUP(A15,Assumptions!$A$8:$E$12,5,0)),0)</f>
        <v>4748</v>
      </c>
      <c r="I15">
        <f>ROUND(I7*(1+VLOOKUP(A15,Assumptions!$A$8:$E$12,5,0)),0)</f>
        <v>4283</v>
      </c>
      <c r="J15">
        <f>ROUND(J7*(1+VLOOKUP(A15,Assumptions!$A$8:$E$12,5,0)),0)</f>
        <v>3558</v>
      </c>
      <c r="K15">
        <f>ROUND(K7*(1+VLOOKUP(A15,Assumptions!$A$8:$E$12,5,0)),0)</f>
        <v>2799</v>
      </c>
      <c r="L15">
        <f>ROUND(L7*(1+VLOOKUP(A15,Assumptions!$A$8:$E$12,5,0)),0)</f>
        <v>2737</v>
      </c>
      <c r="M15">
        <f>ROUND(M7*(1+VLOOKUP(A15,Assumptions!$A$8:$E$12,5,0)),0)</f>
        <v>3165</v>
      </c>
      <c r="N15">
        <f>ROUND(N7*(1+VLOOKUP(A15,Assumptions!$A$8:$E$12,5,0)),0)</f>
        <v>3185</v>
      </c>
      <c r="O15">
        <f>SUM(C15:N15)</f>
        <v>45193</v>
      </c>
      <c r="P15">
        <f>IFERROR(O15/O7-1,0)</f>
        <v>0.0799837499402571</v>
      </c>
    </row>
    <row r="16" spans="1:16" x14ac:dyDescent="0.25">
      <c r="A16" t="s">
        <v>59</v>
      </c>
      <c r="B16" t="s">
        <v>221</v>
      </c>
      <c r="C16">
        <f>ROUND(C8*(1+VLOOKUP(A16,Assumptions!$A$8:$E$12,5,0)),0)</f>
        <v>5520</v>
      </c>
      <c r="D16">
        <f>ROUND(D8*(1+VLOOKUP(A16,Assumptions!$A$8:$E$12,5,0)),0)</f>
        <v>7402</v>
      </c>
      <c r="E16">
        <f>ROUND(E8*(1+VLOOKUP(A16,Assumptions!$A$8:$E$12,5,0)),0)</f>
        <v>5998</v>
      </c>
      <c r="F16">
        <f>ROUND(F8*(1+VLOOKUP(A16,Assumptions!$A$8:$E$12,5,0)),0)</f>
        <v>5520</v>
      </c>
      <c r="G16">
        <f>ROUND(G8*(1+VLOOKUP(A16,Assumptions!$A$8:$E$12,5,0)),0)</f>
        <v>7402</v>
      </c>
      <c r="H16">
        <f>ROUND(H8*(1+VLOOKUP(A16,Assumptions!$A$8:$E$12,5,0)),0)</f>
        <v>5998</v>
      </c>
      <c r="I16">
        <f>ROUND(I8*(1+VLOOKUP(A16,Assumptions!$A$8:$E$12,5,0)),0)</f>
        <v>4686</v>
      </c>
      <c r="J16">
        <f>ROUND(J8*(1+VLOOKUP(A16,Assumptions!$A$8:$E$12,5,0)),0)</f>
        <v>8691</v>
      </c>
      <c r="K16">
        <f>ROUND(K8*(1+VLOOKUP(A16,Assumptions!$A$8:$E$12,5,0)),0)</f>
        <v>5444</v>
      </c>
      <c r="L16">
        <f>ROUND(L8*(1+VLOOKUP(A16,Assumptions!$A$8:$E$12,5,0)),0)</f>
        <v>9152</v>
      </c>
      <c r="M16">
        <f>ROUND(M8*(1+VLOOKUP(A16,Assumptions!$A$8:$E$12,5,0)),0)</f>
        <v>7464</v>
      </c>
      <c r="N16">
        <f>ROUND(N8*(1+VLOOKUP(A16,Assumptions!$A$8:$E$12,5,0)),0)</f>
        <v>9104</v>
      </c>
      <c r="O16">
        <f>SUM(C16:N16)</f>
        <v>82381</v>
      </c>
      <c r="P16">
        <f>IFERROR(O16/O8-1,0)</f>
        <v>0.119991842838692</v>
      </c>
    </row>
    <row r="17" spans="1:16" x14ac:dyDescent="0.25">
      <c r="A17" t="s">
        <v>222</v>
      </c>
      <c r="B17" t="s">
        <v>222</v>
      </c>
      <c r="C17">
        <f>SUM(C12:C16)</f>
        <v>686126</v>
      </c>
      <c r="D17">
        <f>SUM(D12:D16)</f>
        <v>6739757</v>
      </c>
      <c r="E17">
        <f>SUM(E12:E16)</f>
        <v>101307</v>
      </c>
      <c r="F17">
        <f>SUM(F12:F16)</f>
        <v>112570</v>
      </c>
      <c r="G17">
        <f>SUM(G12:G16)</f>
        <v>113287</v>
      </c>
      <c r="H17">
        <f>SUM(H12:H16)</f>
        <v>101307</v>
      </c>
      <c r="I17">
        <f>SUM(I12:I16)</f>
        <v>119210</v>
      </c>
      <c r="J17">
        <f>SUM(J12:J16)</f>
        <v>107998</v>
      </c>
      <c r="K17">
        <f>SUM(K12:K16)</f>
        <v>114092</v>
      </c>
      <c r="L17">
        <f>SUM(L12:L16)</f>
        <v>116436</v>
      </c>
      <c r="M17">
        <f>SUM(M12:M16)</f>
        <v>112179</v>
      </c>
      <c r="N17">
        <f>SUM(N12:N16)</f>
        <v>119744</v>
      </c>
      <c r="O17">
        <f>SUM(C17:N17)</f>
        <v>8544013</v>
      </c>
      <c r="P17">
        <f>IFERROR(O17/O9-1,0)</f>
        <v>0.0623124108835134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FormatPr defaultRowHeight="15" outlineLevelRow="0" outlineLevelCol="0" x14ac:dyDescent="55"/>
  <sheetData>
    <row r="1" spans="1:16" x14ac:dyDescent="0.25">
      <c r="A1" t="s">
        <v>223</v>
      </c>
      <c r="B1" t="s">
        <v>223</v>
      </c>
      <c r="C1" t="s">
        <v>223</v>
      </c>
      <c r="D1" t="s">
        <v>223</v>
      </c>
      <c r="E1" t="s">
        <v>223</v>
      </c>
      <c r="F1" t="s">
        <v>223</v>
      </c>
      <c r="G1" t="s">
        <v>223</v>
      </c>
      <c r="H1" t="s">
        <v>223</v>
      </c>
      <c r="I1" t="s">
        <v>223</v>
      </c>
      <c r="J1" t="s">
        <v>223</v>
      </c>
      <c r="K1" t="s">
        <v>223</v>
      </c>
      <c r="L1" t="s">
        <v>223</v>
      </c>
      <c r="M1" t="s">
        <v>223</v>
      </c>
      <c r="N1" t="s">
        <v>223</v>
      </c>
      <c r="O1" t="s">
        <v>223</v>
      </c>
      <c r="P1" t="s">
        <v>223</v>
      </c>
    </row>
    <row r="2" spans="1:16" x14ac:dyDescent="0.25">
      <c r="A2" t="s">
        <v>48</v>
      </c>
      <c r="B2" t="s">
        <v>201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235</v>
      </c>
      <c r="O2" t="s">
        <v>236</v>
      </c>
      <c r="P2" t="s">
        <v>237</v>
      </c>
    </row>
    <row r="3" spans="1:15" x14ac:dyDescent="0.25">
      <c r="A3" t="s">
        <v>54</v>
      </c>
      <c r="B3" t="s">
        <v>238</v>
      </c>
      <c r="C3">
        <f>Volume_Plan!C12</f>
        <v>636000</v>
      </c>
      <c r="D3">
        <f>Volume_Plan!D12</f>
        <v>6678000</v>
      </c>
      <c r="E3">
        <f>Volume_Plan!E12</f>
        <v>50771</v>
      </c>
      <c r="F3">
        <f>Volume_Plan!F12</f>
        <v>62444</v>
      </c>
      <c r="G3">
        <f>Volume_Plan!G12</f>
        <v>51530</v>
      </c>
      <c r="H3">
        <f>Volume_Plan!H12</f>
        <v>50771</v>
      </c>
      <c r="I3">
        <f>Volume_Plan!I12</f>
        <v>62444</v>
      </c>
      <c r="J3">
        <f>Volume_Plan!J12</f>
        <v>51530</v>
      </c>
      <c r="K3">
        <f>Volume_Plan!K12</f>
        <v>56759</v>
      </c>
      <c r="L3">
        <f>Volume_Plan!L12</f>
        <v>57343</v>
      </c>
      <c r="M3">
        <f>Volume_Plan!M12</f>
        <v>57676</v>
      </c>
      <c r="N3">
        <f>Volume_Plan!N12</f>
        <v>59287</v>
      </c>
      <c r="O3">
        <f>Volume_Plan!O12</f>
        <v>7874555</v>
      </c>
    </row>
    <row r="4" spans="2:15" x14ac:dyDescent="0.25">
      <c r="B4" t="s">
        <v>239</v>
      </c>
      <c r="C4">
        <f>Price_NSP!$I$3</f>
        <v>114411.36</v>
      </c>
      <c r="D4">
        <f>Price_NSP!$I$3</f>
        <v>114411.36</v>
      </c>
      <c r="E4">
        <f>Price_NSP!$I$3</f>
        <v>114411.36</v>
      </c>
      <c r="F4">
        <f>Price_NSP!$I$3</f>
        <v>114411.36</v>
      </c>
      <c r="G4">
        <f>Price_NSP!$I$3</f>
        <v>114411.36</v>
      </c>
      <c r="H4">
        <f>Price_NSP!$I$3</f>
        <v>114411.36</v>
      </c>
      <c r="I4">
        <f>Price_NSP!$I$3</f>
        <v>114411.36</v>
      </c>
      <c r="J4">
        <f>Price_NSP!$I$3</f>
        <v>114411.36</v>
      </c>
      <c r="K4">
        <f>Price_NSP!$I$3</f>
        <v>114411.36</v>
      </c>
      <c r="L4">
        <f>Price_NSP!$I$3</f>
        <v>114411.36</v>
      </c>
      <c r="M4">
        <f>Price_NSP!$I$3</f>
        <v>114411.36</v>
      </c>
      <c r="N4">
        <f>Price_NSP!$I$3</f>
        <v>114411.36</v>
      </c>
      <c r="O4">
        <f>Price_NSP!$I$3</f>
        <v>114411.36</v>
      </c>
    </row>
    <row r="5" spans="2:16" x14ac:dyDescent="0.25">
      <c r="B5" t="s">
        <v>240</v>
      </c>
      <c r="C5">
        <f>ROUND(C3*C4/10000000,2)</f>
        <v>7276.56</v>
      </c>
      <c r="D5">
        <f>ROUND(D3*D4/10000000,2)</f>
        <v>76403.91</v>
      </c>
      <c r="E5">
        <f>ROUND(E3*E4/10000000,2)</f>
        <v>580.88</v>
      </c>
      <c r="F5">
        <f>ROUND(F3*F4/10000000,2)</f>
        <v>714.43</v>
      </c>
      <c r="G5">
        <f>ROUND(G3*G4/10000000,2)</f>
        <v>589.56</v>
      </c>
      <c r="H5">
        <f>ROUND(H3*H4/10000000,2)</f>
        <v>580.88</v>
      </c>
      <c r="I5">
        <f>ROUND(I3*I4/10000000,2)</f>
        <v>714.43</v>
      </c>
      <c r="J5">
        <f>ROUND(J3*J4/10000000,2)</f>
        <v>589.56</v>
      </c>
      <c r="K5">
        <f>ROUND(K3*K4/10000000,2)</f>
        <v>649.39</v>
      </c>
      <c r="L5">
        <f>ROUND(L3*L4/10000000,2)</f>
        <v>656.07</v>
      </c>
      <c r="M5">
        <f>ROUND(M3*M4/10000000,2)</f>
        <v>659.88</v>
      </c>
      <c r="N5">
        <f>ROUND(N3*N4/10000000,2)</f>
        <v>678.31</v>
      </c>
      <c r="O5">
        <f>SUM(C5:N5)</f>
        <v>90093.86</v>
      </c>
      <c r="P5">
        <f>IFERROR(O5/O23,"-")</f>
        <v>0.891990508019749</v>
      </c>
    </row>
    <row r="7" spans="1:15" x14ac:dyDescent="0.25">
      <c r="A7" t="s">
        <v>56</v>
      </c>
      <c r="B7" t="s">
        <v>238</v>
      </c>
      <c r="C7">
        <f>Volume_Plan!C13</f>
        <v>10428</v>
      </c>
      <c r="D7">
        <f>Volume_Plan!D13</f>
        <v>11548</v>
      </c>
      <c r="E7">
        <f>Volume_Plan!E13</f>
        <v>11549</v>
      </c>
      <c r="F7">
        <f>Volume_Plan!F13</f>
        <v>10428</v>
      </c>
      <c r="G7">
        <f>Volume_Plan!G13</f>
        <v>11548</v>
      </c>
      <c r="H7">
        <f>Volume_Plan!H13</f>
        <v>11549</v>
      </c>
      <c r="I7">
        <f>Volume_Plan!I13</f>
        <v>12220</v>
      </c>
      <c r="J7">
        <f>Volume_Plan!J13</f>
        <v>12351</v>
      </c>
      <c r="K7">
        <f>Volume_Plan!K13</f>
        <v>12340</v>
      </c>
      <c r="L7">
        <f>Volume_Plan!L13</f>
        <v>11202</v>
      </c>
      <c r="M7">
        <f>Volume_Plan!M13</f>
        <v>12030</v>
      </c>
      <c r="N7">
        <f>Volume_Plan!N13</f>
        <v>11399</v>
      </c>
      <c r="O7">
        <f>Volume_Plan!O13</f>
        <v>138592</v>
      </c>
    </row>
    <row r="8" spans="2:15" x14ac:dyDescent="0.25">
      <c r="B8" t="s">
        <v>239</v>
      </c>
      <c r="C8">
        <f>Price_NSP!$I$4</f>
        <v>150099.12</v>
      </c>
      <c r="D8">
        <f>Price_NSP!$I$4</f>
        <v>150099.12</v>
      </c>
      <c r="E8">
        <f>Price_NSP!$I$4</f>
        <v>150099.12</v>
      </c>
      <c r="F8">
        <f>Price_NSP!$I$4</f>
        <v>150099.12</v>
      </c>
      <c r="G8">
        <f>Price_NSP!$I$4</f>
        <v>150099.12</v>
      </c>
      <c r="H8">
        <f>Price_NSP!$I$4</f>
        <v>150099.12</v>
      </c>
      <c r="I8">
        <f>Price_NSP!$I$4</f>
        <v>150099.12</v>
      </c>
      <c r="J8">
        <f>Price_NSP!$I$4</f>
        <v>150099.12</v>
      </c>
      <c r="K8">
        <f>Price_NSP!$I$4</f>
        <v>150099.12</v>
      </c>
      <c r="L8">
        <f>Price_NSP!$I$4</f>
        <v>150099.12</v>
      </c>
      <c r="M8">
        <f>Price_NSP!$I$4</f>
        <v>150099.12</v>
      </c>
      <c r="N8">
        <f>Price_NSP!$I$4</f>
        <v>150099.12</v>
      </c>
      <c r="O8">
        <f>Price_NSP!$I$4</f>
        <v>150099.12</v>
      </c>
    </row>
    <row r="9" spans="2:16" x14ac:dyDescent="0.25">
      <c r="B9" t="s">
        <v>240</v>
      </c>
      <c r="C9">
        <f>ROUND(C7*C8/10000000,2)</f>
        <v>156.52</v>
      </c>
      <c r="D9">
        <f>ROUND(D7*D8/10000000,2)</f>
        <v>173.33</v>
      </c>
      <c r="E9">
        <f>ROUND(E7*E8/10000000,2)</f>
        <v>173.35</v>
      </c>
      <c r="F9">
        <f>ROUND(F7*F8/10000000,2)</f>
        <v>156.52</v>
      </c>
      <c r="G9">
        <f>ROUND(G7*G8/10000000,2)</f>
        <v>173.33</v>
      </c>
      <c r="H9">
        <f>ROUND(H7*H8/10000000,2)</f>
        <v>173.35</v>
      </c>
      <c r="I9">
        <f>ROUND(I7*I8/10000000,2)</f>
        <v>183.42</v>
      </c>
      <c r="J9">
        <f>ROUND(J7*J8/10000000,2)</f>
        <v>185.39</v>
      </c>
      <c r="K9">
        <f>ROUND(K7*K8/10000000,2)</f>
        <v>185.22</v>
      </c>
      <c r="L9">
        <f>ROUND(L7*L8/10000000,2)</f>
        <v>168.14</v>
      </c>
      <c r="M9">
        <f>ROUND(M7*M8/10000000,2)</f>
        <v>180.57</v>
      </c>
      <c r="N9">
        <f>ROUND(N7*N8/10000000,2)</f>
        <v>171.1</v>
      </c>
      <c r="O9">
        <f>SUM(C9:N9)</f>
        <v>2080.24</v>
      </c>
      <c r="P9">
        <f>IFERROR(O9/O23,"-")</f>
        <v>0.0205957912603922</v>
      </c>
    </row>
    <row r="11" spans="1:15" x14ac:dyDescent="0.25">
      <c r="A11" t="s">
        <v>57</v>
      </c>
      <c r="B11" t="s">
        <v>238</v>
      </c>
      <c r="C11">
        <f>Volume_Plan!C14</f>
        <v>31315</v>
      </c>
      <c r="D11">
        <f>Volume_Plan!D14</f>
        <v>37685</v>
      </c>
      <c r="E11">
        <f>Volume_Plan!E14</f>
        <v>28241</v>
      </c>
      <c r="F11">
        <f>Volume_Plan!F14</f>
        <v>31315</v>
      </c>
      <c r="G11">
        <f>Volume_Plan!G14</f>
        <v>37685</v>
      </c>
      <c r="H11">
        <f>Volume_Plan!H14</f>
        <v>28241</v>
      </c>
      <c r="I11">
        <f>Volume_Plan!I14</f>
        <v>35577</v>
      </c>
      <c r="J11">
        <f>Volume_Plan!J14</f>
        <v>31868</v>
      </c>
      <c r="K11">
        <f>Volume_Plan!K14</f>
        <v>36750</v>
      </c>
      <c r="L11">
        <f>Volume_Plan!L14</f>
        <v>36002</v>
      </c>
      <c r="M11">
        <f>Volume_Plan!M14</f>
        <v>31844</v>
      </c>
      <c r="N11">
        <f>Volume_Plan!N14</f>
        <v>36769</v>
      </c>
      <c r="O11">
        <f>Volume_Plan!O14</f>
        <v>403292</v>
      </c>
    </row>
    <row r="12" spans="2:15" x14ac:dyDescent="0.25">
      <c r="B12" t="s">
        <v>239</v>
      </c>
      <c r="C12">
        <f>Price_NSP!$I$6</f>
        <v>156785.57</v>
      </c>
      <c r="D12">
        <f>Price_NSP!$I$6</f>
        <v>156785.57</v>
      </c>
      <c r="E12">
        <f>Price_NSP!$I$6</f>
        <v>156785.57</v>
      </c>
      <c r="F12">
        <f>Price_NSP!$I$6</f>
        <v>156785.57</v>
      </c>
      <c r="G12">
        <f>Price_NSP!$I$6</f>
        <v>156785.57</v>
      </c>
      <c r="H12">
        <f>Price_NSP!$I$6</f>
        <v>156785.57</v>
      </c>
      <c r="I12">
        <f>Price_NSP!$I$6</f>
        <v>156785.57</v>
      </c>
      <c r="J12">
        <f>Price_NSP!$I$6</f>
        <v>156785.57</v>
      </c>
      <c r="K12">
        <f>Price_NSP!$I$6</f>
        <v>156785.57</v>
      </c>
      <c r="L12">
        <f>Price_NSP!$I$6</f>
        <v>156785.57</v>
      </c>
      <c r="M12">
        <f>Price_NSP!$I$6</f>
        <v>156785.57</v>
      </c>
      <c r="N12">
        <f>Price_NSP!$I$6</f>
        <v>156785.57</v>
      </c>
      <c r="O12">
        <f>Price_NSP!$I$6</f>
        <v>156785.57</v>
      </c>
    </row>
    <row r="13" spans="2:16" x14ac:dyDescent="0.25">
      <c r="B13" t="s">
        <v>240</v>
      </c>
      <c r="C13">
        <f>ROUND(C11*C12/10000000,2)</f>
        <v>490.97</v>
      </c>
      <c r="D13">
        <f>ROUND(D11*D12/10000000,2)</f>
        <v>590.85</v>
      </c>
      <c r="E13">
        <f>ROUND(E11*E12/10000000,2)</f>
        <v>442.78</v>
      </c>
      <c r="F13">
        <f>ROUND(F11*F12/10000000,2)</f>
        <v>490.97</v>
      </c>
      <c r="G13">
        <f>ROUND(G11*G12/10000000,2)</f>
        <v>590.85</v>
      </c>
      <c r="H13">
        <f>ROUND(H11*H12/10000000,2)</f>
        <v>442.78</v>
      </c>
      <c r="I13">
        <f>ROUND(I11*I12/10000000,2)</f>
        <v>557.8</v>
      </c>
      <c r="J13">
        <f>ROUND(J11*J12/10000000,2)</f>
        <v>499.64</v>
      </c>
      <c r="K13">
        <f>ROUND(K11*K12/10000000,2)</f>
        <v>576.19</v>
      </c>
      <c r="L13">
        <f>ROUND(L11*L12/10000000,2)</f>
        <v>564.46</v>
      </c>
      <c r="M13">
        <f>ROUND(M11*M12/10000000,2)</f>
        <v>499.27</v>
      </c>
      <c r="N13">
        <f>ROUND(N11*N12/10000000,2)</f>
        <v>576.48</v>
      </c>
      <c r="O13">
        <f>SUM(C13:N13)</f>
        <v>6323.04</v>
      </c>
      <c r="P13">
        <f>IFERROR(O13/O23,"-")</f>
        <v>0.0626023977863663</v>
      </c>
    </row>
    <row r="15" spans="1:15" x14ac:dyDescent="0.25">
      <c r="A15" t="s">
        <v>58</v>
      </c>
      <c r="B15" t="s">
        <v>238</v>
      </c>
      <c r="C15">
        <f>Volume_Plan!C15</f>
        <v>2863</v>
      </c>
      <c r="D15">
        <f>Volume_Plan!D15</f>
        <v>5122</v>
      </c>
      <c r="E15">
        <f>Volume_Plan!E15</f>
        <v>4748</v>
      </c>
      <c r="F15">
        <f>Volume_Plan!F15</f>
        <v>2863</v>
      </c>
      <c r="G15">
        <f>Volume_Plan!G15</f>
        <v>5122</v>
      </c>
      <c r="H15">
        <f>Volume_Plan!H15</f>
        <v>4748</v>
      </c>
      <c r="I15">
        <f>Volume_Plan!I15</f>
        <v>4283</v>
      </c>
      <c r="J15">
        <f>Volume_Plan!J15</f>
        <v>3558</v>
      </c>
      <c r="K15">
        <f>Volume_Plan!K15</f>
        <v>2799</v>
      </c>
      <c r="L15">
        <f>Volume_Plan!L15</f>
        <v>2737</v>
      </c>
      <c r="M15">
        <f>Volume_Plan!M15</f>
        <v>3165</v>
      </c>
      <c r="N15">
        <f>Volume_Plan!N15</f>
        <v>3185</v>
      </c>
      <c r="O15">
        <f>Volume_Plan!O15</f>
        <v>45193</v>
      </c>
    </row>
    <row r="16" spans="2:15" x14ac:dyDescent="0.25">
      <c r="B16" t="s">
        <v>239</v>
      </c>
      <c r="C16">
        <f>Price_NSP!$I$5</f>
        <v>155561.22</v>
      </c>
      <c r="D16">
        <f>Price_NSP!$I$5</f>
        <v>155561.22</v>
      </c>
      <c r="E16">
        <f>Price_NSP!$I$5</f>
        <v>155561.22</v>
      </c>
      <c r="F16">
        <f>Price_NSP!$I$5</f>
        <v>155561.22</v>
      </c>
      <c r="G16">
        <f>Price_NSP!$I$5</f>
        <v>155561.22</v>
      </c>
      <c r="H16">
        <f>Price_NSP!$I$5</f>
        <v>155561.22</v>
      </c>
      <c r="I16">
        <f>Price_NSP!$I$5</f>
        <v>155561.22</v>
      </c>
      <c r="J16">
        <f>Price_NSP!$I$5</f>
        <v>155561.22</v>
      </c>
      <c r="K16">
        <f>Price_NSP!$I$5</f>
        <v>155561.22</v>
      </c>
      <c r="L16">
        <f>Price_NSP!$I$5</f>
        <v>155561.22</v>
      </c>
      <c r="M16">
        <f>Price_NSP!$I$5</f>
        <v>155561.22</v>
      </c>
      <c r="N16">
        <f>Price_NSP!$I$5</f>
        <v>155561.22</v>
      </c>
      <c r="O16">
        <f>Price_NSP!$I$5</f>
        <v>155561.22</v>
      </c>
    </row>
    <row r="17" spans="2:16" x14ac:dyDescent="0.25">
      <c r="B17" t="s">
        <v>240</v>
      </c>
      <c r="C17">
        <f>ROUND(C15*C16/10000000,2)</f>
        <v>44.54</v>
      </c>
      <c r="D17">
        <f>ROUND(D15*D16/10000000,2)</f>
        <v>79.68</v>
      </c>
      <c r="E17">
        <f>ROUND(E15*E16/10000000,2)</f>
        <v>73.86</v>
      </c>
      <c r="F17">
        <f>ROUND(F15*F16/10000000,2)</f>
        <v>44.54</v>
      </c>
      <c r="G17">
        <f>ROUND(G15*G16/10000000,2)</f>
        <v>79.68</v>
      </c>
      <c r="H17">
        <f>ROUND(H15*H16/10000000,2)</f>
        <v>73.86</v>
      </c>
      <c r="I17">
        <f>ROUND(I15*I16/10000000,2)</f>
        <v>66.63</v>
      </c>
      <c r="J17">
        <f>ROUND(J15*J16/10000000,2)</f>
        <v>55.35</v>
      </c>
      <c r="K17">
        <f>ROUND(K15*K16/10000000,2)</f>
        <v>43.54</v>
      </c>
      <c r="L17">
        <f>ROUND(L15*L16/10000000,2)</f>
        <v>42.58</v>
      </c>
      <c r="M17">
        <f>ROUND(M15*M16/10000000,2)</f>
        <v>49.24</v>
      </c>
      <c r="N17">
        <f>ROUND(N15*N16/10000000,2)</f>
        <v>49.55</v>
      </c>
      <c r="O17">
        <f>SUM(C17:N17)</f>
        <v>703.05</v>
      </c>
      <c r="P17">
        <f>IFERROR(O17/O23,"-")</f>
        <v>0.00696067330962714</v>
      </c>
    </row>
    <row r="19" spans="1:15" x14ac:dyDescent="0.25">
      <c r="A19" t="s">
        <v>59</v>
      </c>
      <c r="B19" t="s">
        <v>238</v>
      </c>
      <c r="C19">
        <f>Volume_Plan!C16</f>
        <v>5520</v>
      </c>
      <c r="D19">
        <f>Volume_Plan!D16</f>
        <v>7402</v>
      </c>
      <c r="E19">
        <f>Volume_Plan!E16</f>
        <v>5998</v>
      </c>
      <c r="F19">
        <f>Volume_Plan!F16</f>
        <v>5520</v>
      </c>
      <c r="G19">
        <f>Volume_Plan!G16</f>
        <v>7402</v>
      </c>
      <c r="H19">
        <f>Volume_Plan!H16</f>
        <v>5998</v>
      </c>
      <c r="I19">
        <f>Volume_Plan!I16</f>
        <v>4686</v>
      </c>
      <c r="J19">
        <f>Volume_Plan!J16</f>
        <v>8691</v>
      </c>
      <c r="K19">
        <f>Volume_Plan!K16</f>
        <v>5444</v>
      </c>
      <c r="L19">
        <f>Volume_Plan!L16</f>
        <v>9152</v>
      </c>
      <c r="M19">
        <f>Volume_Plan!M16</f>
        <v>7464</v>
      </c>
      <c r="N19">
        <f>Volume_Plan!N16</f>
        <v>9104</v>
      </c>
      <c r="O19">
        <f>Volume_Plan!O16</f>
        <v>82381</v>
      </c>
    </row>
    <row r="20" spans="2:15" x14ac:dyDescent="0.25">
      <c r="B20" t="s">
        <v>239</v>
      </c>
      <c r="C20">
        <f>Price_NSP!$I$7</f>
        <v>218855.28</v>
      </c>
      <c r="D20">
        <f>Price_NSP!$I$7</f>
        <v>218855.28</v>
      </c>
      <c r="E20">
        <f>Price_NSP!$I$7</f>
        <v>218855.28</v>
      </c>
      <c r="F20">
        <f>Price_NSP!$I$7</f>
        <v>218855.28</v>
      </c>
      <c r="G20">
        <f>Price_NSP!$I$7</f>
        <v>218855.28</v>
      </c>
      <c r="H20">
        <f>Price_NSP!$I$7</f>
        <v>218855.28</v>
      </c>
      <c r="I20">
        <f>Price_NSP!$I$7</f>
        <v>218855.28</v>
      </c>
      <c r="J20">
        <f>Price_NSP!$I$7</f>
        <v>218855.28</v>
      </c>
      <c r="K20">
        <f>Price_NSP!$I$7</f>
        <v>218855.28</v>
      </c>
      <c r="L20">
        <f>Price_NSP!$I$7</f>
        <v>218855.28</v>
      </c>
      <c r="M20">
        <f>Price_NSP!$I$7</f>
        <v>218855.28</v>
      </c>
      <c r="N20">
        <f>Price_NSP!$I$7</f>
        <v>218855.28</v>
      </c>
      <c r="O20">
        <f>Price_NSP!$I$7</f>
        <v>218855.28</v>
      </c>
    </row>
    <row r="21" spans="2:16" x14ac:dyDescent="0.25">
      <c r="B21" t="s">
        <v>240</v>
      </c>
      <c r="C21">
        <f>ROUND(C19*C20/10000000,2)</f>
        <v>120.81</v>
      </c>
      <c r="D21">
        <f>ROUND(D19*D20/10000000,2)</f>
        <v>162</v>
      </c>
      <c r="E21">
        <f>ROUND(E19*E20/10000000,2)</f>
        <v>131.27</v>
      </c>
      <c r="F21">
        <f>ROUND(F19*F20/10000000,2)</f>
        <v>120.81</v>
      </c>
      <c r="G21">
        <f>ROUND(G19*G20/10000000,2)</f>
        <v>162</v>
      </c>
      <c r="H21">
        <f>ROUND(H19*H20/10000000,2)</f>
        <v>131.27</v>
      </c>
      <c r="I21">
        <f>ROUND(I19*I20/10000000,2)</f>
        <v>102.56</v>
      </c>
      <c r="J21">
        <f>ROUND(J19*J20/10000000,2)</f>
        <v>190.21</v>
      </c>
      <c r="K21">
        <f>ROUND(K19*K20/10000000,2)</f>
        <v>119.14</v>
      </c>
      <c r="L21">
        <f>ROUND(L19*L20/10000000,2)</f>
        <v>200.3</v>
      </c>
      <c r="M21">
        <f>ROUND(M19*M20/10000000,2)</f>
        <v>163.35</v>
      </c>
      <c r="N21">
        <f>ROUND(N19*N20/10000000,2)</f>
        <v>199.25</v>
      </c>
      <c r="O21">
        <f>SUM(C21:N21)</f>
        <v>1802.97</v>
      </c>
      <c r="P21">
        <f>IFERROR(O21/O23,"-")</f>
        <v>0.0178506296238652</v>
      </c>
    </row>
    <row r="23" spans="1:15" x14ac:dyDescent="0.25">
      <c r="A23" t="s">
        <v>241</v>
      </c>
      <c r="B23" t="s">
        <v>241</v>
      </c>
      <c r="C23">
        <f>C5+C9+C13+C17+C21</f>
        <v>8089.4</v>
      </c>
      <c r="D23">
        <f>D5+D9+D13+D17+D21</f>
        <v>77409.77</v>
      </c>
      <c r="E23">
        <f>E5+E9+E13+E17+E21</f>
        <v>1402.14</v>
      </c>
      <c r="F23">
        <f>F5+F9+F13+F17+F21</f>
        <v>1527.27</v>
      </c>
      <c r="G23">
        <f>G5+G9+G13+G17+G21</f>
        <v>1595.42</v>
      </c>
      <c r="H23">
        <f>H5+H9+H13+H17+H21</f>
        <v>1402.14</v>
      </c>
      <c r="I23">
        <f>I5+I9+I13+I17+I21</f>
        <v>1624.84</v>
      </c>
      <c r="J23">
        <f>J5+J9+J13+J17+J21</f>
        <v>1520.15</v>
      </c>
      <c r="K23">
        <f>K5+K9+K13+K17+K21</f>
        <v>1573.48</v>
      </c>
      <c r="L23">
        <f>L5+L9+L13+L17+L21</f>
        <v>1631.55</v>
      </c>
      <c r="M23">
        <f>M5+M9+M13+M17+M21</f>
        <v>1552.31</v>
      </c>
      <c r="N23">
        <f>N5+N9+N13+N17+N21</f>
        <v>1674.69</v>
      </c>
      <c r="O23">
        <f>SUM(C23:N23)</f>
        <v>101003.16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sheetData>
    <row r="1" spans="1:18" x14ac:dyDescent="0.25">
      <c r="A1" t="s">
        <v>242</v>
      </c>
      <c r="B1" t="s">
        <v>242</v>
      </c>
      <c r="C1" t="s">
        <v>242</v>
      </c>
      <c r="D1" t="s">
        <v>242</v>
      </c>
      <c r="E1" t="s">
        <v>242</v>
      </c>
      <c r="F1" t="s">
        <v>242</v>
      </c>
      <c r="G1" t="s">
        <v>242</v>
      </c>
      <c r="H1" t="s">
        <v>242</v>
      </c>
      <c r="I1" t="s">
        <v>242</v>
      </c>
      <c r="J1" t="s">
        <v>242</v>
      </c>
      <c r="K1" t="s">
        <v>242</v>
      </c>
      <c r="L1" t="s">
        <v>242</v>
      </c>
      <c r="M1" t="s">
        <v>242</v>
      </c>
      <c r="N1" t="s">
        <v>242</v>
      </c>
      <c r="O1" t="s">
        <v>242</v>
      </c>
      <c r="P1" t="s">
        <v>242</v>
      </c>
      <c r="Q1" t="s">
        <v>242</v>
      </c>
      <c r="R1" t="s">
        <v>242</v>
      </c>
    </row>
    <row r="2" spans="1:18" x14ac:dyDescent="0.25">
      <c r="A2" t="s">
        <v>243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  <c r="L2" t="s">
        <v>254</v>
      </c>
      <c r="M2" t="s">
        <v>255</v>
      </c>
      <c r="N2" t="s">
        <v>256</v>
      </c>
      <c r="O2" t="s">
        <v>257</v>
      </c>
      <c r="P2" t="s">
        <v>258</v>
      </c>
      <c r="Q2" t="s">
        <v>259</v>
      </c>
      <c r="R2" t="s">
        <v>260</v>
      </c>
    </row>
    <row r="3" spans="1:18" x14ac:dyDescent="0.25">
      <c r="A3" t="s">
        <v>261</v>
      </c>
      <c r="B3" t="s">
        <v>262</v>
      </c>
      <c r="C3">
        <v>7</v>
      </c>
      <c r="D3">
        <v>6000000</v>
      </c>
      <c r="E3">
        <v>0.2</v>
      </c>
      <c r="F3">
        <f>ROUND(C3*D3*(1+E3)/12/10000000,3)</f>
        <v>0.42</v>
      </c>
      <c r="G3">
        <f>ROUND(C3*D3*(1+E3)/12/10000000,3)</f>
        <v>0.42</v>
      </c>
      <c r="H3">
        <f>ROUND(C3*D3*(1+E3)/12/10000000,3)</f>
        <v>0.42</v>
      </c>
      <c r="I3">
        <f>ROUND(C3*D3*(1+E3)/12/10000000,3)</f>
        <v>0.42</v>
      </c>
      <c r="J3">
        <f>ROUND(C3*D3*(1+E3)/12/10000000,3)</f>
        <v>0.42</v>
      </c>
      <c r="K3">
        <f>ROUND(C3*D3*(1+E3)/12/10000000,3)</f>
        <v>0.42</v>
      </c>
      <c r="L3">
        <f>ROUND(C3*D3*(1+E3)/12/10000000,3)</f>
        <v>0.42</v>
      </c>
      <c r="M3">
        <f>ROUND(C3*D3*(1+E3)/12/10000000,3)</f>
        <v>0.42</v>
      </c>
      <c r="N3">
        <f>ROUND(C3*D3*(1+E3)/12/10000000,3)</f>
        <v>0.42</v>
      </c>
      <c r="O3">
        <f>ROUND(C3*D3*(1+E3)/12/10000000,3)</f>
        <v>0.42</v>
      </c>
      <c r="P3">
        <f>ROUND(C3*D3*(1+E3)/12/10000000,3)</f>
        <v>0.42</v>
      </c>
      <c r="Q3">
        <f>ROUND(C3*D3*(1+E3)/12/10000000,3)</f>
        <v>0.42</v>
      </c>
      <c r="R3">
        <f>SUM(F3:Q3)</f>
        <v>5.04</v>
      </c>
    </row>
    <row r="4" spans="1:18" x14ac:dyDescent="0.25">
      <c r="A4" t="s">
        <v>263</v>
      </c>
      <c r="B4" t="s">
        <v>264</v>
      </c>
      <c r="C4">
        <v>2</v>
      </c>
      <c r="D4">
        <v>420000</v>
      </c>
      <c r="E4">
        <v>0.12</v>
      </c>
      <c r="F4">
        <f>ROUND(C4*D4*(1+E4)/12/10000000,3)</f>
        <v>0.008</v>
      </c>
      <c r="G4">
        <f>ROUND(C4*D4*(1+E4)/12/10000000,3)</f>
        <v>0.008</v>
      </c>
      <c r="H4">
        <f>ROUND(C4*D4*(1+E4)/12/10000000,3)</f>
        <v>0.008</v>
      </c>
      <c r="I4">
        <f>ROUND(C4*D4*(1+E4)/12/10000000,3)</f>
        <v>0.008</v>
      </c>
      <c r="J4">
        <f>ROUND(C4*D4*(1+E4)/12/10000000,3)</f>
        <v>0.008</v>
      </c>
      <c r="K4">
        <f>ROUND(C4*D4*(1+E4)/12/10000000,3)</f>
        <v>0.008</v>
      </c>
      <c r="L4">
        <f>ROUND(C4*D4*(1+E4)/12/10000000,3)</f>
        <v>0.008</v>
      </c>
      <c r="M4">
        <f>ROUND(C4*D4*(1+E4)/12/10000000,3)</f>
        <v>0.008</v>
      </c>
      <c r="N4">
        <f>ROUND(C4*D4*(1+E4)/12/10000000,3)</f>
        <v>0.008</v>
      </c>
      <c r="O4">
        <f>ROUND(C4*D4*(1+E4)/12/10000000,3)</f>
        <v>0.008</v>
      </c>
      <c r="P4">
        <f>ROUND(C4*D4*(1+E4)/12/10000000,3)</f>
        <v>0.008</v>
      </c>
      <c r="Q4">
        <f>ROUND(C4*D4*(1+E4)/12/10000000,3)</f>
        <v>0.008</v>
      </c>
      <c r="R4">
        <f>SUM(F4:Q4)</f>
        <v>0.096</v>
      </c>
    </row>
    <row r="5" spans="1:18" x14ac:dyDescent="0.25">
      <c r="A5" t="s">
        <v>265</v>
      </c>
      <c r="B5" t="s">
        <v>266</v>
      </c>
      <c r="C5">
        <v>1</v>
      </c>
      <c r="D5">
        <v>300000</v>
      </c>
      <c r="E5">
        <v>0.12</v>
      </c>
      <c r="F5">
        <f>ROUND(C5*D5*(1+E5)/12/10000000,3)</f>
        <v>0.003</v>
      </c>
      <c r="G5">
        <f>ROUND(C5*D5*(1+E5)/12/10000000,3)</f>
        <v>0.003</v>
      </c>
      <c r="H5">
        <f>ROUND(C5*D5*(1+E5)/12/10000000,3)</f>
        <v>0.003</v>
      </c>
      <c r="I5">
        <f>ROUND(C5*D5*(1+E5)/12/10000000,3)</f>
        <v>0.003</v>
      </c>
      <c r="J5">
        <f>ROUND(C5*D5*(1+E5)/12/10000000,3)</f>
        <v>0.003</v>
      </c>
      <c r="K5">
        <f>ROUND(C5*D5*(1+E5)/12/10000000,3)</f>
        <v>0.003</v>
      </c>
      <c r="L5">
        <f>ROUND(C5*D5*(1+E5)/12/10000000,3)</f>
        <v>0.003</v>
      </c>
      <c r="M5">
        <f>ROUND(C5*D5*(1+E5)/12/10000000,3)</f>
        <v>0.003</v>
      </c>
      <c r="N5">
        <f>ROUND(C5*D5*(1+E5)/12/10000000,3)</f>
        <v>0.003</v>
      </c>
      <c r="O5">
        <f>ROUND(C5*D5*(1+E5)/12/10000000,3)</f>
        <v>0.003</v>
      </c>
      <c r="P5">
        <f>ROUND(C5*D5*(1+E5)/12/10000000,3)</f>
        <v>0.003</v>
      </c>
      <c r="Q5">
        <f>ROUND(C5*D5*(1+E5)/12/10000000,3)</f>
        <v>0.003</v>
      </c>
      <c r="R5">
        <f>SUM(F5:Q5)</f>
        <v>0.036</v>
      </c>
    </row>
    <row r="6" spans="1:18" x14ac:dyDescent="0.25">
      <c r="A6" t="s">
        <v>267</v>
      </c>
      <c r="B6" t="s">
        <v>268</v>
      </c>
      <c r="C6">
        <v>1</v>
      </c>
      <c r="D6">
        <v>240000</v>
      </c>
      <c r="F6">
        <f>ROUND(C6*D6*(1+E6)/12/10000000,3)</f>
        <v>0.002</v>
      </c>
      <c r="G6">
        <f>ROUND(C6*D6*(1+E6)/12/10000000,3)</f>
        <v>0.002</v>
      </c>
      <c r="H6">
        <f>ROUND(C6*D6*(1+E6)/12/10000000,3)</f>
        <v>0.002</v>
      </c>
      <c r="I6">
        <f>ROUND(C6*D6*(1+E6)/12/10000000,3)</f>
        <v>0.002</v>
      </c>
      <c r="J6">
        <f>ROUND(C6*D6*(1+E6)/12/10000000,3)</f>
        <v>0.002</v>
      </c>
      <c r="K6">
        <f>ROUND(C6*D6*(1+E6)/12/10000000,3)</f>
        <v>0.002</v>
      </c>
      <c r="L6">
        <f>ROUND(C6*D6*(1+E6)/12/10000000,3)</f>
        <v>0.002</v>
      </c>
      <c r="M6">
        <f>ROUND(C6*D6*(1+E6)/12/10000000,3)</f>
        <v>0.002</v>
      </c>
      <c r="N6">
        <f>ROUND(C6*D6*(1+E6)/12/10000000,3)</f>
        <v>0.002</v>
      </c>
      <c r="O6">
        <f>ROUND(C6*D6*(1+E6)/12/10000000,3)</f>
        <v>0.002</v>
      </c>
      <c r="P6">
        <f>ROUND(C6*D6*(1+E6)/12/10000000,3)</f>
        <v>0.002</v>
      </c>
      <c r="Q6">
        <f>ROUND(C6*D6*(1+E6)/12/10000000,3)</f>
        <v>0.002</v>
      </c>
      <c r="R6">
        <f>SUM(F6:Q6)</f>
        <v>0.024</v>
      </c>
    </row>
    <row r="7" spans="1:18" x14ac:dyDescent="0.25">
      <c r="A7" t="s">
        <v>269</v>
      </c>
      <c r="B7" t="s">
        <v>270</v>
      </c>
      <c r="C7">
        <v>3</v>
      </c>
      <c r="D7">
        <v>180000</v>
      </c>
      <c r="E7">
        <v>0.12</v>
      </c>
      <c r="F7">
        <f>ROUND(C7*D7*(1+E7)/12/10000000,3)</f>
        <v>0.005</v>
      </c>
      <c r="G7">
        <f>ROUND(C7*D7*(1+E7)/12/10000000,3)</f>
        <v>0.005</v>
      </c>
      <c r="H7">
        <f>ROUND(C7*D7*(1+E7)/12/10000000,3)</f>
        <v>0.005</v>
      </c>
      <c r="I7">
        <f>ROUND(C7*D7*(1+E7)/12/10000000,3)</f>
        <v>0.005</v>
      </c>
      <c r="J7">
        <f>ROUND(C7*D7*(1+E7)/12/10000000,3)</f>
        <v>0.005</v>
      </c>
      <c r="K7">
        <f>ROUND(C7*D7*(1+E7)/12/10000000,3)</f>
        <v>0.005</v>
      </c>
      <c r="L7">
        <f>ROUND(C7*D7*(1+E7)/12/10000000,3)</f>
        <v>0.005</v>
      </c>
      <c r="M7">
        <f>ROUND(C7*D7*(1+E7)/12/10000000,3)</f>
        <v>0.005</v>
      </c>
      <c r="N7">
        <f>ROUND(C7*D7*(1+E7)/12/10000000,3)</f>
        <v>0.005</v>
      </c>
      <c r="O7">
        <f>ROUND(C7*D7*(1+E7)/12/10000000,3)</f>
        <v>0.005</v>
      </c>
      <c r="P7">
        <f>ROUND(C7*D7*(1+E7)/12/10000000,3)</f>
        <v>0.005</v>
      </c>
      <c r="Q7">
        <f>ROUND(C7*D7*(1+E7)/12/10000000,3)</f>
        <v>0.005</v>
      </c>
      <c r="R7">
        <f>SUM(F7:Q7)</f>
        <v>0.06</v>
      </c>
    </row>
    <row r="8" spans="1:18" x14ac:dyDescent="0.25">
      <c r="A8" t="s">
        <v>271</v>
      </c>
      <c r="B8" t="s">
        <v>272</v>
      </c>
      <c r="C8">
        <v>5</v>
      </c>
      <c r="D8">
        <v>216000</v>
      </c>
      <c r="E8">
        <v>0.055</v>
      </c>
      <c r="F8">
        <f>ROUND(C8*D8*(1+E8)/12/10000000,3)</f>
        <v>0.009</v>
      </c>
      <c r="G8">
        <f>ROUND(C8*D8*(1+E8)/12/10000000,3)</f>
        <v>0.009</v>
      </c>
      <c r="H8">
        <f>ROUND(C8*D8*(1+E8)/12/10000000,3)</f>
        <v>0.009</v>
      </c>
      <c r="I8">
        <f>ROUND(C8*D8*(1+E8)/12/10000000,3)</f>
        <v>0.009</v>
      </c>
      <c r="J8">
        <f>ROUND(C8*D8*(1+E8)/12/10000000,3)</f>
        <v>0.009</v>
      </c>
      <c r="K8">
        <f>ROUND(C8*D8*(1+E8)/12/10000000,3)</f>
        <v>0.009</v>
      </c>
      <c r="L8">
        <f>ROUND(C8*D8*(1+E8)/12/10000000,3)</f>
        <v>0.009</v>
      </c>
      <c r="M8">
        <f>ROUND(C8*D8*(1+E8)/12/10000000,3)</f>
        <v>0.009</v>
      </c>
      <c r="N8">
        <f>ROUND(C8*D8*(1+E8)/12/10000000,3)</f>
        <v>0.009</v>
      </c>
      <c r="O8">
        <f>ROUND(C8*D8*(1+E8)/12/10000000,3)</f>
        <v>0.009</v>
      </c>
      <c r="P8">
        <f>ROUND(C8*D8*(1+E8)/12/10000000,3)</f>
        <v>0.009</v>
      </c>
      <c r="Q8">
        <f>ROUND(C8*D8*(1+E8)/12/10000000,3)</f>
        <v>0.009</v>
      </c>
      <c r="R8">
        <f>SUM(F8:Q8)</f>
        <v>0.108</v>
      </c>
    </row>
    <row r="9" spans="1:18" x14ac:dyDescent="0.25">
      <c r="A9" t="s">
        <v>273</v>
      </c>
      <c r="B9" t="s">
        <v>274</v>
      </c>
      <c r="C9">
        <v>4</v>
      </c>
      <c r="D9">
        <v>264000</v>
      </c>
      <c r="F9">
        <f>ROUND(C9*D9*(1+E9)/12/10000000,3)</f>
        <v>0.009</v>
      </c>
      <c r="G9">
        <f>ROUND(C9*D9*(1+E9)/12/10000000,3)</f>
        <v>0.009</v>
      </c>
      <c r="H9">
        <f>ROUND(C9*D9*(1+E9)/12/10000000,3)</f>
        <v>0.009</v>
      </c>
      <c r="I9">
        <f>ROUND(C9*D9*(1+E9)/12/10000000,3)</f>
        <v>0.009</v>
      </c>
      <c r="J9">
        <f>ROUND(C9*D9*(1+E9)/12/10000000,3)</f>
        <v>0.009</v>
      </c>
      <c r="K9">
        <f>ROUND(C9*D9*(1+E9)/12/10000000,3)</f>
        <v>0.009</v>
      </c>
      <c r="L9">
        <f>ROUND(C9*D9*(1+E9)/12/10000000,3)</f>
        <v>0.009</v>
      </c>
      <c r="M9">
        <f>ROUND(C9*D9*(1+E9)/12/10000000,3)</f>
        <v>0.009</v>
      </c>
      <c r="N9">
        <f>ROUND(C9*D9*(1+E9)/12/10000000,3)</f>
        <v>0.009</v>
      </c>
      <c r="O9">
        <f>ROUND(C9*D9*(1+E9)/12/10000000,3)</f>
        <v>0.009</v>
      </c>
      <c r="P9">
        <f>ROUND(C9*D9*(1+E9)/12/10000000,3)</f>
        <v>0.009</v>
      </c>
      <c r="Q9">
        <f>ROUND(C9*D9*(1+E9)/12/10000000,3)</f>
        <v>0.009</v>
      </c>
      <c r="R9">
        <f>SUM(F9:Q9)</f>
        <v>0.108</v>
      </c>
    </row>
    <row r="10" spans="1:18" x14ac:dyDescent="0.25">
      <c r="A10" t="s">
        <v>275</v>
      </c>
      <c r="B10" t="s">
        <v>276</v>
      </c>
      <c r="C10">
        <v>4</v>
      </c>
      <c r="D10">
        <v>96000</v>
      </c>
      <c r="F10">
        <f>ROUND(C10*D10*(1+E10)/12/10000000,3)</f>
        <v>0.003</v>
      </c>
      <c r="G10">
        <f>ROUND(C10*D10*(1+E10)/12/10000000,3)</f>
        <v>0.003</v>
      </c>
      <c r="H10">
        <f>ROUND(C10*D10*(1+E10)/12/10000000,3)</f>
        <v>0.003</v>
      </c>
      <c r="I10">
        <f>ROUND(C10*D10*(1+E10)/12/10000000,3)</f>
        <v>0.003</v>
      </c>
      <c r="J10">
        <f>ROUND(C10*D10*(1+E10)/12/10000000,3)</f>
        <v>0.003</v>
      </c>
      <c r="K10">
        <f>ROUND(C10*D10*(1+E10)/12/10000000,3)</f>
        <v>0.003</v>
      </c>
      <c r="L10">
        <f>ROUND(C10*D10*(1+E10)/12/10000000,3)</f>
        <v>0.003</v>
      </c>
      <c r="M10">
        <f>ROUND(C10*D10*(1+E10)/12/10000000,3)</f>
        <v>0.003</v>
      </c>
      <c r="N10">
        <f>ROUND(C10*D10*(1+E10)/12/10000000,3)</f>
        <v>0.003</v>
      </c>
      <c r="O10">
        <f>ROUND(C10*D10*(1+E10)/12/10000000,3)</f>
        <v>0.003</v>
      </c>
      <c r="P10">
        <f>ROUND(C10*D10*(1+E10)/12/10000000,3)</f>
        <v>0.003</v>
      </c>
      <c r="Q10">
        <f>ROUND(C10*D10*(1+E10)/12/10000000,3)</f>
        <v>0.003</v>
      </c>
      <c r="R10">
        <f>SUM(F10:Q10)</f>
        <v>0.036</v>
      </c>
    </row>
    <row r="11" spans="1:18" x14ac:dyDescent="0.25">
      <c r="A11" t="s">
        <v>277</v>
      </c>
      <c r="B11" t="s">
        <v>278</v>
      </c>
      <c r="C11">
        <v>5</v>
      </c>
      <c r="D11">
        <v>96000</v>
      </c>
      <c r="F11">
        <f>ROUND(C11*D11*(1+E11)/12/10000000,3)</f>
        <v>0.004</v>
      </c>
      <c r="G11">
        <f>ROUND(C11*D11*(1+E11)/12/10000000,3)</f>
        <v>0.004</v>
      </c>
      <c r="H11">
        <f>ROUND(C11*D11*(1+E11)/12/10000000,3)</f>
        <v>0.004</v>
      </c>
      <c r="I11">
        <f>ROUND(C11*D11*(1+E11)/12/10000000,3)</f>
        <v>0.004</v>
      </c>
      <c r="J11">
        <f>ROUND(C11*D11*(1+E11)/12/10000000,3)</f>
        <v>0.004</v>
      </c>
      <c r="K11">
        <f>ROUND(C11*D11*(1+E11)/12/10000000,3)</f>
        <v>0.004</v>
      </c>
      <c r="L11">
        <f>ROUND(C11*D11*(1+E11)/12/10000000,3)</f>
        <v>0.004</v>
      </c>
      <c r="M11">
        <f>ROUND(C11*D11*(1+E11)/12/10000000,3)</f>
        <v>0.004</v>
      </c>
      <c r="N11">
        <f>ROUND(C11*D11*(1+E11)/12/10000000,3)</f>
        <v>0.004</v>
      </c>
      <c r="O11">
        <f>ROUND(C11*D11*(1+E11)/12/10000000,3)</f>
        <v>0.004</v>
      </c>
      <c r="P11">
        <f>ROUND(C11*D11*(1+E11)/12/10000000,3)</f>
        <v>0.004</v>
      </c>
      <c r="Q11">
        <f>ROUND(C11*D11*(1+E11)/12/10000000,3)</f>
        <v>0.004</v>
      </c>
      <c r="R11">
        <f>SUM(F11:Q11)</f>
        <v>0.048</v>
      </c>
    </row>
    <row r="12" spans="1:18" x14ac:dyDescent="0.25">
      <c r="A12" t="s">
        <v>279</v>
      </c>
      <c r="B12" t="s">
        <v>280</v>
      </c>
      <c r="C12">
        <v>3</v>
      </c>
      <c r="D12">
        <v>144000</v>
      </c>
      <c r="F12">
        <f>ROUND(C12*D12*(1+E12)/12/10000000,3)</f>
        <v>0.004</v>
      </c>
      <c r="G12">
        <f>ROUND(C12*D12*(1+E12)/12/10000000,3)</f>
        <v>0.004</v>
      </c>
      <c r="H12">
        <f>ROUND(C12*D12*(1+E12)/12/10000000,3)</f>
        <v>0.004</v>
      </c>
      <c r="I12">
        <f>ROUND(C12*D12*(1+E12)/12/10000000,3)</f>
        <v>0.004</v>
      </c>
      <c r="J12">
        <f>ROUND(C12*D12*(1+E12)/12/10000000,3)</f>
        <v>0.004</v>
      </c>
      <c r="K12">
        <f>ROUND(C12*D12*(1+E12)/12/10000000,3)</f>
        <v>0.004</v>
      </c>
      <c r="L12">
        <f>ROUND(C12*D12*(1+E12)/12/10000000,3)</f>
        <v>0.004</v>
      </c>
      <c r="M12">
        <f>ROUND(C12*D12*(1+E12)/12/10000000,3)</f>
        <v>0.004</v>
      </c>
      <c r="N12">
        <f>ROUND(C12*D12*(1+E12)/12/10000000,3)</f>
        <v>0.004</v>
      </c>
      <c r="O12">
        <f>ROUND(C12*D12*(1+E12)/12/10000000,3)</f>
        <v>0.004</v>
      </c>
      <c r="P12">
        <f>ROUND(C12*D12*(1+E12)/12/10000000,3)</f>
        <v>0.004</v>
      </c>
      <c r="Q12">
        <f>ROUND(C12*D12*(1+E12)/12/10000000,3)</f>
        <v>0.004</v>
      </c>
      <c r="R12">
        <f>SUM(F12:Q12)</f>
        <v>0.048</v>
      </c>
    </row>
    <row r="13" spans="1:18" x14ac:dyDescent="0.25">
      <c r="A13" t="s">
        <v>281</v>
      </c>
      <c r="B13" t="s">
        <v>282</v>
      </c>
      <c r="C13">
        <v>1</v>
      </c>
      <c r="D13">
        <v>300000</v>
      </c>
      <c r="F13">
        <f>ROUND(C13*D13*(1+E13)/12/10000000,3)</f>
        <v>0.003</v>
      </c>
      <c r="G13">
        <f>ROUND(C13*D13*(1+E13)/12/10000000,3)</f>
        <v>0.003</v>
      </c>
      <c r="H13">
        <f>ROUND(C13*D13*(1+E13)/12/10000000,3)</f>
        <v>0.003</v>
      </c>
      <c r="I13">
        <f>ROUND(C13*D13*(1+E13)/12/10000000,3)</f>
        <v>0.003</v>
      </c>
      <c r="J13">
        <f>ROUND(C13*D13*(1+E13)/12/10000000,3)</f>
        <v>0.003</v>
      </c>
      <c r="K13">
        <f>ROUND(C13*D13*(1+E13)/12/10000000,3)</f>
        <v>0.003</v>
      </c>
      <c r="L13">
        <f>ROUND(C13*D13*(1+E13)/12/10000000,3)</f>
        <v>0.003</v>
      </c>
      <c r="M13">
        <f>ROUND(C13*D13*(1+E13)/12/10000000,3)</f>
        <v>0.003</v>
      </c>
      <c r="N13">
        <f>ROUND(C13*D13*(1+E13)/12/10000000,3)</f>
        <v>0.003</v>
      </c>
      <c r="O13">
        <f>ROUND(C13*D13*(1+E13)/12/10000000,3)</f>
        <v>0.003</v>
      </c>
      <c r="P13">
        <f>ROUND(C13*D13*(1+E13)/12/10000000,3)</f>
        <v>0.003</v>
      </c>
      <c r="Q13">
        <f>ROUND(C13*D13*(1+E13)/12/10000000,3)</f>
        <v>0.003</v>
      </c>
      <c r="R13">
        <f>SUM(F13:Q13)</f>
        <v>0.036</v>
      </c>
    </row>
    <row r="14" spans="1:18" x14ac:dyDescent="0.25">
      <c r="A14" t="s">
        <v>283</v>
      </c>
      <c r="B14" t="s">
        <v>283</v>
      </c>
      <c r="C14" t="s">
        <v>283</v>
      </c>
      <c r="D14" t="s">
        <v>283</v>
      </c>
      <c r="E14" t="s">
        <v>283</v>
      </c>
      <c r="F14">
        <f>SUM(F3:F13)</f>
        <v>0.47</v>
      </c>
      <c r="G14">
        <f>SUM(G3:G13)</f>
        <v>0.47</v>
      </c>
      <c r="H14">
        <f>SUM(H3:H13)</f>
        <v>0.47</v>
      </c>
      <c r="I14">
        <f>SUM(I3:I13)</f>
        <v>0.47</v>
      </c>
      <c r="J14">
        <f>SUM(J3:J13)</f>
        <v>0.47</v>
      </c>
      <c r="K14">
        <f>SUM(K3:K13)</f>
        <v>0.47</v>
      </c>
      <c r="L14">
        <f>SUM(L3:L13)</f>
        <v>0.47</v>
      </c>
      <c r="M14">
        <f>SUM(M3:M13)</f>
        <v>0.47</v>
      </c>
      <c r="N14">
        <f>SUM(N3:N13)</f>
        <v>0.47</v>
      </c>
      <c r="O14">
        <f>SUM(O3:O13)</f>
        <v>0.47</v>
      </c>
      <c r="P14">
        <f>SUM(P3:P13)</f>
        <v>0.47</v>
      </c>
      <c r="Q14">
        <f>SUM(Q3:Q13)</f>
        <v>0.47</v>
      </c>
      <c r="R14">
        <f>SUM(R3:R13)</f>
        <v>5.64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sheetData>
    <row r="1" spans="1:18" x14ac:dyDescent="0.25">
      <c r="A1" t="s">
        <v>284</v>
      </c>
      <c r="B1" t="s">
        <v>284</v>
      </c>
      <c r="C1" t="s">
        <v>284</v>
      </c>
      <c r="D1" t="s">
        <v>284</v>
      </c>
      <c r="E1" t="s">
        <v>284</v>
      </c>
      <c r="F1" t="s">
        <v>284</v>
      </c>
      <c r="G1" t="s">
        <v>284</v>
      </c>
      <c r="H1" t="s">
        <v>284</v>
      </c>
      <c r="I1" t="s">
        <v>284</v>
      </c>
      <c r="J1" t="s">
        <v>284</v>
      </c>
      <c r="K1" t="s">
        <v>284</v>
      </c>
      <c r="L1" t="s">
        <v>284</v>
      </c>
      <c r="M1" t="s">
        <v>284</v>
      </c>
      <c r="N1" t="s">
        <v>284</v>
      </c>
      <c r="O1" t="s">
        <v>284</v>
      </c>
      <c r="P1" t="s">
        <v>284</v>
      </c>
      <c r="Q1" t="s">
        <v>284</v>
      </c>
      <c r="R1" t="s">
        <v>284</v>
      </c>
    </row>
    <row r="2" spans="1:19" x14ac:dyDescent="0.25">
      <c r="A2" t="s">
        <v>285</v>
      </c>
      <c r="B2" t="s">
        <v>286</v>
      </c>
      <c r="C2" t="s">
        <v>48</v>
      </c>
      <c r="D2" t="s">
        <v>287</v>
      </c>
      <c r="E2" t="s">
        <v>288</v>
      </c>
      <c r="F2" t="s">
        <v>289</v>
      </c>
      <c r="G2" t="s">
        <v>248</v>
      </c>
      <c r="H2" t="s">
        <v>249</v>
      </c>
      <c r="I2" t="s">
        <v>250</v>
      </c>
      <c r="J2" t="s">
        <v>251</v>
      </c>
      <c r="K2" t="s">
        <v>252</v>
      </c>
      <c r="L2" t="s">
        <v>253</v>
      </c>
      <c r="M2" t="s">
        <v>254</v>
      </c>
      <c r="N2" t="s">
        <v>255</v>
      </c>
      <c r="O2" t="s">
        <v>256</v>
      </c>
      <c r="P2" t="s">
        <v>257</v>
      </c>
      <c r="Q2" t="s">
        <v>258</v>
      </c>
      <c r="R2" t="s">
        <v>259</v>
      </c>
      <c r="S2" t="s">
        <v>290</v>
      </c>
    </row>
    <row r="3" spans="1:19" x14ac:dyDescent="0.25">
      <c r="A3" t="s">
        <v>291</v>
      </c>
      <c r="B3" t="s">
        <v>292</v>
      </c>
      <c r="C3" t="s">
        <v>54</v>
      </c>
      <c r="D3" t="s">
        <v>293</v>
      </c>
      <c r="E3" t="s">
        <v>294</v>
      </c>
      <c r="F3" t="s">
        <v>295</v>
      </c>
      <c r="G3">
        <v>0.4</v>
      </c>
      <c r="H3">
        <v>0.5</v>
      </c>
      <c r="I3">
        <v>0.4</v>
      </c>
      <c r="J3">
        <v>0.56</v>
      </c>
      <c r="K3">
        <v>0.64</v>
      </c>
      <c r="L3">
        <v>0.5</v>
      </c>
      <c r="M3">
        <v>0.6</v>
      </c>
      <c r="N3">
        <v>0.56</v>
      </c>
      <c r="O3">
        <v>0.4</v>
      </c>
      <c r="P3">
        <v>0.44</v>
      </c>
      <c r="Q3">
        <v>0.5</v>
      </c>
      <c r="R3">
        <v>0.6</v>
      </c>
      <c r="S3">
        <f>SUM(G3:R3)</f>
        <v>6.1</v>
      </c>
    </row>
    <row r="4" spans="1:19" x14ac:dyDescent="0.25">
      <c r="A4" t="s">
        <v>296</v>
      </c>
      <c r="B4" t="s">
        <v>297</v>
      </c>
      <c r="C4" t="s">
        <v>56</v>
      </c>
      <c r="D4" t="s">
        <v>293</v>
      </c>
      <c r="E4" t="s">
        <v>294</v>
      </c>
      <c r="F4" t="s">
        <v>298</v>
      </c>
      <c r="G4">
        <v>0.36</v>
      </c>
      <c r="H4">
        <v>0.45</v>
      </c>
      <c r="I4">
        <v>0.36</v>
      </c>
      <c r="J4">
        <v>0.5</v>
      </c>
      <c r="K4">
        <v>0.58</v>
      </c>
      <c r="L4">
        <v>0.45</v>
      </c>
      <c r="M4">
        <v>0.54</v>
      </c>
      <c r="N4">
        <v>0.5</v>
      </c>
      <c r="O4">
        <v>0.36</v>
      </c>
      <c r="P4">
        <v>0.4</v>
      </c>
      <c r="Q4">
        <v>0.45</v>
      </c>
      <c r="R4">
        <v>0.54</v>
      </c>
      <c r="S4">
        <f>SUM(G4:R4)</f>
        <v>5.49</v>
      </c>
    </row>
    <row r="5" spans="1:19" x14ac:dyDescent="0.25">
      <c r="A5" t="s">
        <v>299</v>
      </c>
      <c r="B5" t="s">
        <v>300</v>
      </c>
      <c r="C5" t="s">
        <v>58</v>
      </c>
      <c r="D5" t="s">
        <v>301</v>
      </c>
      <c r="E5" t="s">
        <v>302</v>
      </c>
      <c r="F5" t="s">
        <v>295</v>
      </c>
      <c r="G5">
        <v>0.16</v>
      </c>
      <c r="H5">
        <v>0.2</v>
      </c>
      <c r="I5">
        <v>0.16</v>
      </c>
      <c r="J5">
        <v>0.22</v>
      </c>
      <c r="K5">
        <v>0.26</v>
      </c>
      <c r="L5">
        <v>0.2</v>
      </c>
      <c r="M5">
        <v>0.24</v>
      </c>
      <c r="N5">
        <v>0.22</v>
      </c>
      <c r="O5">
        <v>0.16</v>
      </c>
      <c r="P5">
        <v>0.18</v>
      </c>
      <c r="Q5">
        <v>0.2</v>
      </c>
      <c r="R5">
        <v>0.24</v>
      </c>
      <c r="S5">
        <f>SUM(G5:R5)</f>
        <v>2.44</v>
      </c>
    </row>
    <row r="6" spans="1:19" x14ac:dyDescent="0.25">
      <c r="A6" t="s">
        <v>303</v>
      </c>
      <c r="B6" t="s">
        <v>304</v>
      </c>
      <c r="C6" t="s">
        <v>57</v>
      </c>
      <c r="D6" t="s">
        <v>305</v>
      </c>
      <c r="E6" t="s">
        <v>306</v>
      </c>
      <c r="F6" t="s">
        <v>298</v>
      </c>
      <c r="G6">
        <v>0.24</v>
      </c>
      <c r="H6">
        <v>0.3</v>
      </c>
      <c r="I6">
        <v>0.24</v>
      </c>
      <c r="J6">
        <v>0.34</v>
      </c>
      <c r="K6">
        <v>0.38</v>
      </c>
      <c r="L6">
        <v>0.3</v>
      </c>
      <c r="M6">
        <v>0.36</v>
      </c>
      <c r="N6">
        <v>0.34</v>
      </c>
      <c r="O6">
        <v>0.24</v>
      </c>
      <c r="P6">
        <v>0.26</v>
      </c>
      <c r="Q6">
        <v>0.3</v>
      </c>
      <c r="R6">
        <v>0.36</v>
      </c>
      <c r="S6">
        <f>SUM(G6:R6)</f>
        <v>3.66</v>
      </c>
    </row>
    <row r="7" spans="1:19" x14ac:dyDescent="0.25">
      <c r="A7" t="s">
        <v>307</v>
      </c>
      <c r="B7" t="s">
        <v>308</v>
      </c>
      <c r="C7" t="s">
        <v>59</v>
      </c>
      <c r="D7" t="s">
        <v>309</v>
      </c>
      <c r="E7" t="s">
        <v>310</v>
      </c>
      <c r="F7" t="s">
        <v>295</v>
      </c>
      <c r="G7">
        <v>0.2</v>
      </c>
      <c r="H7">
        <v>0.25</v>
      </c>
      <c r="I7">
        <v>0.2</v>
      </c>
      <c r="J7">
        <v>0.28</v>
      </c>
      <c r="K7">
        <v>0.32</v>
      </c>
      <c r="L7">
        <v>0.25</v>
      </c>
      <c r="M7">
        <v>0.3</v>
      </c>
      <c r="N7">
        <v>0.28</v>
      </c>
      <c r="O7">
        <v>0.2</v>
      </c>
      <c r="P7">
        <v>0.22</v>
      </c>
      <c r="Q7">
        <v>0.25</v>
      </c>
      <c r="R7">
        <v>0.3</v>
      </c>
      <c r="S7">
        <f>SUM(G7:R7)</f>
        <v>3.05</v>
      </c>
    </row>
    <row r="8" spans="1:19" x14ac:dyDescent="0.25">
      <c r="A8" t="s">
        <v>311</v>
      </c>
      <c r="B8" t="s">
        <v>312</v>
      </c>
      <c r="C8" t="s">
        <v>313</v>
      </c>
      <c r="D8" t="s">
        <v>314</v>
      </c>
      <c r="E8" t="s">
        <v>315</v>
      </c>
      <c r="F8" t="s">
        <v>295</v>
      </c>
      <c r="G8">
        <v>0.16</v>
      </c>
      <c r="H8">
        <v>0.2</v>
      </c>
      <c r="I8">
        <v>0.16</v>
      </c>
      <c r="J8">
        <v>0.22</v>
      </c>
      <c r="K8">
        <v>0.26</v>
      </c>
      <c r="L8">
        <v>0.2</v>
      </c>
      <c r="M8">
        <v>0.24</v>
      </c>
      <c r="N8">
        <v>0.22</v>
      </c>
      <c r="O8">
        <v>0.16</v>
      </c>
      <c r="P8">
        <v>0.18</v>
      </c>
      <c r="Q8">
        <v>0.2</v>
      </c>
      <c r="R8">
        <v>0.24</v>
      </c>
      <c r="S8">
        <f>SUM(G8:R8)</f>
        <v>2.44</v>
      </c>
    </row>
    <row r="9" spans="1:19" x14ac:dyDescent="0.25">
      <c r="A9" t="s">
        <v>316</v>
      </c>
      <c r="B9" t="s">
        <v>317</v>
      </c>
      <c r="C9" t="s">
        <v>313</v>
      </c>
      <c r="D9" t="s">
        <v>318</v>
      </c>
      <c r="E9" t="s">
        <v>319</v>
      </c>
      <c r="F9" t="s">
        <v>298</v>
      </c>
      <c r="G9">
        <v>0.14</v>
      </c>
      <c r="H9">
        <v>0.18</v>
      </c>
      <c r="I9">
        <v>0.14</v>
      </c>
      <c r="J9">
        <v>0.2</v>
      </c>
      <c r="K9">
        <v>0.22</v>
      </c>
      <c r="L9">
        <v>0.18</v>
      </c>
      <c r="M9">
        <v>0.21</v>
      </c>
      <c r="N9">
        <v>0.2</v>
      </c>
      <c r="O9">
        <v>0.14</v>
      </c>
      <c r="P9">
        <v>0.15</v>
      </c>
      <c r="Q9">
        <v>0.18</v>
      </c>
      <c r="R9">
        <v>0.21</v>
      </c>
      <c r="S9">
        <f>SUM(G9:R9)</f>
        <v>2.15</v>
      </c>
    </row>
    <row r="10" spans="1:19" x14ac:dyDescent="0.25">
      <c r="A10" t="s">
        <v>320</v>
      </c>
      <c r="B10" t="s">
        <v>321</v>
      </c>
      <c r="C10" t="s">
        <v>313</v>
      </c>
      <c r="D10" t="s">
        <v>322</v>
      </c>
      <c r="E10" t="s">
        <v>323</v>
      </c>
      <c r="F10" t="s">
        <v>298</v>
      </c>
      <c r="G10">
        <v>0.16</v>
      </c>
      <c r="H10">
        <v>0.2</v>
      </c>
      <c r="I10">
        <v>0.16</v>
      </c>
      <c r="J10">
        <v>0.22</v>
      </c>
      <c r="K10">
        <v>0.26</v>
      </c>
      <c r="L10">
        <v>0.2</v>
      </c>
      <c r="M10">
        <v>0.24</v>
      </c>
      <c r="N10">
        <v>0.22</v>
      </c>
      <c r="O10">
        <v>0.16</v>
      </c>
      <c r="P10">
        <v>0.18</v>
      </c>
      <c r="Q10">
        <v>0.2</v>
      </c>
      <c r="R10">
        <v>0.24</v>
      </c>
      <c r="S10">
        <f>SUM(G10:R10)</f>
        <v>2.44</v>
      </c>
    </row>
    <row r="11" spans="1:19" x14ac:dyDescent="0.25">
      <c r="A11" t="s">
        <v>324</v>
      </c>
      <c r="B11" t="s">
        <v>325</v>
      </c>
      <c r="C11" t="s">
        <v>313</v>
      </c>
      <c r="D11" t="s">
        <v>326</v>
      </c>
      <c r="E11" t="s">
        <v>327</v>
      </c>
      <c r="F11" t="s">
        <v>328</v>
      </c>
      <c r="G11">
        <v>0.06</v>
      </c>
      <c r="H11">
        <v>0.07</v>
      </c>
      <c r="I11">
        <v>0.06</v>
      </c>
      <c r="J11">
        <v>0.08</v>
      </c>
      <c r="K11">
        <v>0.1</v>
      </c>
      <c r="L11">
        <v>0.07</v>
      </c>
      <c r="M11">
        <v>0.09</v>
      </c>
      <c r="N11">
        <v>0.08</v>
      </c>
      <c r="O11">
        <v>0.06</v>
      </c>
      <c r="P11">
        <v>0.07</v>
      </c>
      <c r="Q11">
        <v>0.07</v>
      </c>
      <c r="R11">
        <v>0.09</v>
      </c>
      <c r="S11">
        <f>SUM(G11:R11)</f>
        <v>0.9</v>
      </c>
    </row>
    <row r="12" spans="1:19" x14ac:dyDescent="0.25">
      <c r="A12" t="s">
        <v>329</v>
      </c>
      <c r="B12" t="s">
        <v>330</v>
      </c>
      <c r="C12" t="s">
        <v>313</v>
      </c>
      <c r="D12" t="s">
        <v>331</v>
      </c>
      <c r="E12" t="s">
        <v>332</v>
      </c>
      <c r="F12" t="s">
        <v>295</v>
      </c>
      <c r="G12">
        <v>0.12</v>
      </c>
      <c r="H12">
        <v>0.15</v>
      </c>
      <c r="I12">
        <v>0.12</v>
      </c>
      <c r="J12">
        <v>0.17</v>
      </c>
      <c r="K12">
        <v>0.19</v>
      </c>
      <c r="L12">
        <v>0.15</v>
      </c>
      <c r="M12">
        <v>0.18</v>
      </c>
      <c r="N12">
        <v>0.17</v>
      </c>
      <c r="O12">
        <v>0.12</v>
      </c>
      <c r="P12">
        <v>0.13</v>
      </c>
      <c r="Q12">
        <v>0.15</v>
      </c>
      <c r="R12">
        <v>0.18</v>
      </c>
      <c r="S12">
        <f>SUM(G12:R12)</f>
        <v>1.83</v>
      </c>
    </row>
    <row r="13" spans="1:19" x14ac:dyDescent="0.25">
      <c r="A13" t="s">
        <v>333</v>
      </c>
      <c r="B13" t="s">
        <v>333</v>
      </c>
      <c r="C13" t="s">
        <v>333</v>
      </c>
      <c r="D13" t="s">
        <v>333</v>
      </c>
      <c r="E13" t="s">
        <v>333</v>
      </c>
      <c r="F13" t="s">
        <v>333</v>
      </c>
      <c r="G13">
        <f>SUM(G3:G12)</f>
        <v>2</v>
      </c>
      <c r="H13">
        <f>SUM(H3:H12)</f>
        <v>2.5</v>
      </c>
      <c r="I13">
        <f>SUM(I3:I12)</f>
        <v>2</v>
      </c>
      <c r="J13">
        <f>SUM(J3:J12)</f>
        <v>2.79</v>
      </c>
      <c r="K13">
        <f>SUM(K3:K12)</f>
        <v>3.21</v>
      </c>
      <c r="L13">
        <f>SUM(L3:L12)</f>
        <v>2.5</v>
      </c>
      <c r="M13">
        <f>SUM(M3:M12)</f>
        <v>3</v>
      </c>
      <c r="N13">
        <f>SUM(N3:N12)</f>
        <v>2.79</v>
      </c>
      <c r="O13">
        <f>SUM(O3:O12)</f>
        <v>2</v>
      </c>
      <c r="P13">
        <f>SUM(P3:P12)</f>
        <v>2.21</v>
      </c>
      <c r="Q13">
        <f>SUM(Q3:Q12)</f>
        <v>2.5</v>
      </c>
      <c r="R13">
        <f>SUM(R3:R12)</f>
        <v>3</v>
      </c>
      <c r="S13">
        <f>SUM(S3:S12)</f>
        <v>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t="s">
        <v>334</v>
      </c>
      <c r="B1" t="s">
        <v>334</v>
      </c>
      <c r="C1" t="s">
        <v>334</v>
      </c>
      <c r="D1" t="s">
        <v>334</v>
      </c>
      <c r="E1" t="s">
        <v>334</v>
      </c>
      <c r="F1" t="s">
        <v>334</v>
      </c>
      <c r="G1" t="s">
        <v>334</v>
      </c>
      <c r="H1" t="s">
        <v>334</v>
      </c>
    </row>
    <row r="2" spans="1:8" x14ac:dyDescent="0.25">
      <c r="A2" t="s">
        <v>335</v>
      </c>
      <c r="B2" t="s">
        <v>335</v>
      </c>
      <c r="C2" t="s">
        <v>335</v>
      </c>
      <c r="E2" t="s">
        <v>336</v>
      </c>
      <c r="F2" t="s">
        <v>336</v>
      </c>
      <c r="G2" t="s">
        <v>336</v>
      </c>
      <c r="H2" t="s">
        <v>336</v>
      </c>
    </row>
    <row r="3" spans="1:8" x14ac:dyDescent="0.25">
      <c r="A3" t="s">
        <v>337</v>
      </c>
      <c r="B3" t="s">
        <v>7</v>
      </c>
      <c r="C3" t="s">
        <v>338</v>
      </c>
      <c r="E3" t="s">
        <v>339</v>
      </c>
      <c r="F3" t="s">
        <v>340</v>
      </c>
      <c r="G3" t="s">
        <v>341</v>
      </c>
      <c r="H3" t="s">
        <v>342</v>
      </c>
    </row>
    <row r="4" spans="1:8" x14ac:dyDescent="0.25">
      <c r="A4">
        <v>100000</v>
      </c>
      <c r="B4" t="s">
        <v>343</v>
      </c>
      <c r="C4" t="s">
        <v>344</v>
      </c>
      <c r="E4">
        <v>760300</v>
      </c>
      <c r="F4">
        <v>760300</v>
      </c>
      <c r="G4" t="s">
        <v>345</v>
      </c>
      <c r="H4" t="s">
        <v>346</v>
      </c>
    </row>
    <row r="5" spans="1:8" x14ac:dyDescent="0.25">
      <c r="A5">
        <v>100001</v>
      </c>
      <c r="B5" t="s">
        <v>347</v>
      </c>
      <c r="C5" t="s">
        <v>344</v>
      </c>
      <c r="E5">
        <v>760600</v>
      </c>
      <c r="F5">
        <v>760600</v>
      </c>
      <c r="G5" t="s">
        <v>348</v>
      </c>
      <c r="H5" t="s">
        <v>349</v>
      </c>
    </row>
    <row r="6" spans="1:8" x14ac:dyDescent="0.25">
      <c r="A6">
        <v>100002</v>
      </c>
      <c r="B6" t="s">
        <v>350</v>
      </c>
      <c r="C6" t="s">
        <v>344</v>
      </c>
      <c r="E6">
        <v>473501</v>
      </c>
      <c r="F6">
        <v>473501</v>
      </c>
      <c r="G6" t="s">
        <v>351</v>
      </c>
      <c r="H6" t="s">
        <v>352</v>
      </c>
    </row>
    <row r="7" spans="1:8" x14ac:dyDescent="0.25">
      <c r="A7">
        <v>114300</v>
      </c>
      <c r="B7" t="s">
        <v>353</v>
      </c>
      <c r="C7" t="s">
        <v>344</v>
      </c>
      <c r="E7">
        <v>503305</v>
      </c>
      <c r="F7">
        <v>503305</v>
      </c>
      <c r="G7" t="s">
        <v>351</v>
      </c>
      <c r="H7" t="s">
        <v>352</v>
      </c>
    </row>
    <row r="8" spans="1:8" x14ac:dyDescent="0.25">
      <c r="A8">
        <v>114310</v>
      </c>
      <c r="B8" t="s">
        <v>354</v>
      </c>
      <c r="C8" t="s">
        <v>344</v>
      </c>
      <c r="E8">
        <v>503320</v>
      </c>
      <c r="F8">
        <v>503320</v>
      </c>
      <c r="G8" t="s">
        <v>351</v>
      </c>
      <c r="H8" t="s">
        <v>352</v>
      </c>
    </row>
    <row r="9" spans="1:8" x14ac:dyDescent="0.25">
      <c r="A9">
        <v>114320</v>
      </c>
      <c r="B9" t="s">
        <v>355</v>
      </c>
      <c r="C9" t="s">
        <v>344</v>
      </c>
      <c r="E9">
        <v>503400</v>
      </c>
      <c r="F9">
        <v>503400</v>
      </c>
      <c r="G9" t="s">
        <v>351</v>
      </c>
      <c r="H9" t="s">
        <v>352</v>
      </c>
    </row>
    <row r="10" spans="1:8" x14ac:dyDescent="0.25">
      <c r="A10">
        <v>114400</v>
      </c>
      <c r="B10" t="s">
        <v>356</v>
      </c>
      <c r="C10" t="s">
        <v>344</v>
      </c>
      <c r="E10">
        <v>504100</v>
      </c>
      <c r="F10">
        <v>504100</v>
      </c>
      <c r="G10" t="s">
        <v>351</v>
      </c>
      <c r="H10" t="s">
        <v>352</v>
      </c>
    </row>
    <row r="11" spans="1:8" x14ac:dyDescent="0.25">
      <c r="A11">
        <v>114500</v>
      </c>
      <c r="B11" t="s">
        <v>357</v>
      </c>
      <c r="C11" t="s">
        <v>344</v>
      </c>
      <c r="E11">
        <v>504105</v>
      </c>
      <c r="F11">
        <v>504105</v>
      </c>
      <c r="G11" t="s">
        <v>351</v>
      </c>
      <c r="H11" t="s">
        <v>352</v>
      </c>
    </row>
    <row r="12" spans="1:8" x14ac:dyDescent="0.25">
      <c r="A12">
        <v>214510</v>
      </c>
      <c r="B12" t="s">
        <v>358</v>
      </c>
      <c r="E12">
        <v>504200</v>
      </c>
      <c r="F12">
        <v>504200</v>
      </c>
      <c r="G12" t="s">
        <v>351</v>
      </c>
      <c r="H12" t="s">
        <v>352</v>
      </c>
    </row>
    <row r="13" spans="1:8" x14ac:dyDescent="0.25">
      <c r="A13">
        <v>214511</v>
      </c>
      <c r="B13" t="s">
        <v>359</v>
      </c>
      <c r="E13">
        <v>621101</v>
      </c>
      <c r="F13">
        <v>621101</v>
      </c>
      <c r="G13" t="s">
        <v>360</v>
      </c>
      <c r="H13" t="s">
        <v>361</v>
      </c>
    </row>
    <row r="14" spans="1:8" x14ac:dyDescent="0.25">
      <c r="A14">
        <v>214513</v>
      </c>
      <c r="B14" t="s">
        <v>362</v>
      </c>
      <c r="E14">
        <v>412013</v>
      </c>
      <c r="F14">
        <v>412013</v>
      </c>
      <c r="G14" t="s">
        <v>363</v>
      </c>
      <c r="H14" t="s">
        <v>364</v>
      </c>
    </row>
    <row r="15" spans="1:8" x14ac:dyDescent="0.25">
      <c r="A15">
        <v>214513</v>
      </c>
      <c r="B15" t="s">
        <v>365</v>
      </c>
      <c r="E15">
        <v>412014</v>
      </c>
      <c r="F15">
        <v>412014</v>
      </c>
      <c r="G15" t="s">
        <v>363</v>
      </c>
      <c r="H15" t="s">
        <v>364</v>
      </c>
    </row>
    <row r="16" spans="5:8" x14ac:dyDescent="0.25">
      <c r="E16">
        <v>687001</v>
      </c>
      <c r="F16">
        <v>687001</v>
      </c>
      <c r="G16" t="s">
        <v>366</v>
      </c>
      <c r="H16" t="s">
        <v>367</v>
      </c>
    </row>
    <row r="17" spans="5:8" x14ac:dyDescent="0.25">
      <c r="E17">
        <v>9687001</v>
      </c>
      <c r="F17">
        <v>9687001</v>
      </c>
      <c r="G17" t="s">
        <v>366</v>
      </c>
      <c r="H17" t="s">
        <v>367</v>
      </c>
    </row>
    <row r="18" spans="5:8" x14ac:dyDescent="0.25">
      <c r="E18">
        <v>375180</v>
      </c>
      <c r="F18">
        <v>375180</v>
      </c>
      <c r="G18" t="s">
        <v>368</v>
      </c>
      <c r="H18" t="s">
        <v>346</v>
      </c>
    </row>
    <row r="19" spans="5:8" x14ac:dyDescent="0.25">
      <c r="E19">
        <v>760000</v>
      </c>
      <c r="F19">
        <v>760000</v>
      </c>
      <c r="G19" t="s">
        <v>368</v>
      </c>
      <c r="H19" t="s">
        <v>346</v>
      </c>
    </row>
    <row r="20" spans="5:8" x14ac:dyDescent="0.25">
      <c r="E20">
        <v>760050</v>
      </c>
      <c r="F20">
        <v>760050</v>
      </c>
      <c r="G20" t="s">
        <v>368</v>
      </c>
      <c r="H20" t="s">
        <v>346</v>
      </c>
    </row>
    <row r="21" spans="5:8" x14ac:dyDescent="0.25">
      <c r="E21">
        <v>375063</v>
      </c>
      <c r="F21">
        <v>375063</v>
      </c>
      <c r="G21" t="s">
        <v>369</v>
      </c>
      <c r="H21" t="s">
        <v>346</v>
      </c>
    </row>
    <row r="22" spans="5:8" x14ac:dyDescent="0.25">
      <c r="E22">
        <v>760100</v>
      </c>
      <c r="F22">
        <v>760100</v>
      </c>
      <c r="G22" t="s">
        <v>369</v>
      </c>
      <c r="H22" t="s">
        <v>346</v>
      </c>
    </row>
    <row r="23" spans="5:8" x14ac:dyDescent="0.25">
      <c r="E23">
        <v>760350</v>
      </c>
      <c r="F23">
        <v>760350</v>
      </c>
      <c r="G23" t="s">
        <v>370</v>
      </c>
      <c r="H23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FormatPr defaultRowHeight="15" outlineLevelRow="0" outlineLevelCol="0" x14ac:dyDescent="55"/>
  <sheetData>
    <row r="1" spans="1:16" x14ac:dyDescent="0.25">
      <c r="A1" t="s">
        <v>371</v>
      </c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  <c r="H1" t="s">
        <v>371</v>
      </c>
      <c r="I1" t="s">
        <v>371</v>
      </c>
      <c r="J1" t="s">
        <v>371</v>
      </c>
      <c r="K1" t="s">
        <v>371</v>
      </c>
      <c r="L1" t="s">
        <v>371</v>
      </c>
      <c r="M1" t="s">
        <v>371</v>
      </c>
      <c r="N1" t="s">
        <v>371</v>
      </c>
      <c r="O1" t="s">
        <v>371</v>
      </c>
      <c r="P1" t="s">
        <v>371</v>
      </c>
    </row>
    <row r="2" spans="1:16" x14ac:dyDescent="0.25">
      <c r="A2" t="s">
        <v>372</v>
      </c>
      <c r="B2" t="s">
        <v>372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H2" t="s">
        <v>253</v>
      </c>
      <c r="I2" t="s">
        <v>254</v>
      </c>
      <c r="J2" t="s">
        <v>255</v>
      </c>
      <c r="K2" t="s">
        <v>256</v>
      </c>
      <c r="L2" t="s">
        <v>257</v>
      </c>
      <c r="M2" t="s">
        <v>258</v>
      </c>
      <c r="N2" t="s">
        <v>259</v>
      </c>
      <c r="O2" t="s">
        <v>236</v>
      </c>
      <c r="P2" t="s">
        <v>373</v>
      </c>
    </row>
    <row r="3" spans="1:2" x14ac:dyDescent="0.25">
      <c r="A3" t="s">
        <v>374</v>
      </c>
      <c r="B3" t="s">
        <v>374</v>
      </c>
    </row>
    <row r="4" spans="1:16" x14ac:dyDescent="0.25">
      <c r="A4" t="s">
        <v>375</v>
      </c>
      <c r="B4" t="s">
        <v>375</v>
      </c>
      <c r="C4">
        <f>Revenue!C23</f>
        <v>8089.4</v>
      </c>
      <c r="D4">
        <f>Revenue!D23</f>
        <v>77409.77</v>
      </c>
      <c r="E4">
        <f>Revenue!E23</f>
        <v>1402.14</v>
      </c>
      <c r="F4">
        <f>Revenue!F23</f>
        <v>1527.27</v>
      </c>
      <c r="G4">
        <f>Revenue!G23</f>
        <v>1595.42</v>
      </c>
      <c r="H4">
        <f>Revenue!H23</f>
        <v>1402.14</v>
      </c>
      <c r="I4">
        <f>Revenue!I23</f>
        <v>1624.84</v>
      </c>
      <c r="J4">
        <f>Revenue!J23</f>
        <v>1520.15</v>
      </c>
      <c r="K4">
        <f>Revenue!K23</f>
        <v>1573.48</v>
      </c>
      <c r="L4">
        <f>Revenue!L23</f>
        <v>1631.55</v>
      </c>
      <c r="M4">
        <f>Revenue!M23</f>
        <v>1552.31</v>
      </c>
      <c r="N4">
        <f>Revenue!N23</f>
        <v>1674.69</v>
      </c>
      <c r="O4">
        <f>SUM(C4:N4)</f>
        <v>101003.16</v>
      </c>
      <c r="P4">
        <f>IFERROR(O4/O4,"-")</f>
        <v>1</v>
      </c>
    </row>
    <row r="5" spans="1:16" x14ac:dyDescent="0.25">
      <c r="A5" t="s">
        <v>376</v>
      </c>
      <c r="B5" t="s">
        <v>376</v>
      </c>
      <c r="C5">
        <f>ROUND(C4*0.01,2)</f>
        <v>80.89</v>
      </c>
      <c r="D5">
        <f>ROUND(D4*0.01,2)</f>
        <v>774.1</v>
      </c>
      <c r="E5">
        <f>ROUND(E4*0.01,2)</f>
        <v>14.02</v>
      </c>
      <c r="F5">
        <f>ROUND(F4*0.01,2)</f>
        <v>15.27</v>
      </c>
      <c r="G5">
        <f>ROUND(G4*0.01,2)</f>
        <v>15.95</v>
      </c>
      <c r="H5">
        <f>ROUND(H4*0.01,2)</f>
        <v>14.02</v>
      </c>
      <c r="I5">
        <f>ROUND(I4*0.01,2)</f>
        <v>16.25</v>
      </c>
      <c r="J5">
        <f>ROUND(J4*0.01,2)</f>
        <v>15.2</v>
      </c>
      <c r="K5">
        <f>ROUND(K4*0.01,2)</f>
        <v>15.73</v>
      </c>
      <c r="L5">
        <f>ROUND(L4*0.01,2)</f>
        <v>16.32</v>
      </c>
      <c r="M5">
        <f>ROUND(M4*0.01,2)</f>
        <v>15.52</v>
      </c>
      <c r="N5">
        <f>ROUND(N4*0.01,2)</f>
        <v>16.75</v>
      </c>
      <c r="O5">
        <f>SUM(C5:N5)</f>
        <v>1010.02</v>
      </c>
      <c r="P5">
        <f>IFERROR(O5/O4,"-")</f>
        <v>0.00999988515210811</v>
      </c>
    </row>
    <row r="6" spans="1:16" x14ac:dyDescent="0.25">
      <c r="A6" t="s">
        <v>377</v>
      </c>
      <c r="B6" t="s">
        <v>377</v>
      </c>
      <c r="C6">
        <f>C4-C5</f>
        <v>8008.51</v>
      </c>
      <c r="D6">
        <f>D4-D5</f>
        <v>76635.67</v>
      </c>
      <c r="E6">
        <f>E4-E5</f>
        <v>1388.12</v>
      </c>
      <c r="F6">
        <f>F4-F5</f>
        <v>1512</v>
      </c>
      <c r="G6">
        <f>G4-G5</f>
        <v>1579.47</v>
      </c>
      <c r="H6">
        <f>H4-H5</f>
        <v>1388.12</v>
      </c>
      <c r="I6">
        <f>I4-I5</f>
        <v>1608.59</v>
      </c>
      <c r="J6">
        <f>J4-J5</f>
        <v>1504.95</v>
      </c>
      <c r="K6">
        <f>K4-K5</f>
        <v>1557.75</v>
      </c>
      <c r="L6">
        <f>L4-L5</f>
        <v>1615.23</v>
      </c>
      <c r="M6">
        <f>M4-M5</f>
        <v>1536.79</v>
      </c>
      <c r="N6">
        <f>N4-N5</f>
        <v>1657.94</v>
      </c>
      <c r="O6">
        <f>SUM(C6:N6)</f>
        <v>99993.14</v>
      </c>
      <c r="P6">
        <f>IFERROR(O6/O4,"-")</f>
        <v>0.990000114847892</v>
      </c>
    </row>
    <row r="8" spans="1:16" x14ac:dyDescent="0.25">
      <c r="A8" t="s">
        <v>378</v>
      </c>
      <c r="B8" t="s">
        <v>378</v>
      </c>
      <c r="C8" t="s">
        <v>378</v>
      </c>
      <c r="D8" t="s">
        <v>378</v>
      </c>
      <c r="E8" t="s">
        <v>378</v>
      </c>
      <c r="F8" t="s">
        <v>378</v>
      </c>
      <c r="G8" t="s">
        <v>378</v>
      </c>
      <c r="H8" t="s">
        <v>378</v>
      </c>
      <c r="I8" t="s">
        <v>378</v>
      </c>
      <c r="J8" t="s">
        <v>378</v>
      </c>
      <c r="K8" t="s">
        <v>378</v>
      </c>
      <c r="L8" t="s">
        <v>378</v>
      </c>
      <c r="M8" t="s">
        <v>378</v>
      </c>
      <c r="N8" t="s">
        <v>378</v>
      </c>
      <c r="O8" t="s">
        <v>378</v>
      </c>
      <c r="P8" t="s">
        <v>378</v>
      </c>
    </row>
    <row r="9" spans="1:16" x14ac:dyDescent="0.25">
      <c r="A9" t="s">
        <v>379</v>
      </c>
      <c r="B9" t="s">
        <v>379</v>
      </c>
      <c r="C9">
        <f>ROUND(C6*Assumptions!$E$24,2)</f>
        <v>4805.11</v>
      </c>
      <c r="D9">
        <f>ROUND(D6*Assumptions!$E$24,2)</f>
        <v>45981.4</v>
      </c>
      <c r="E9">
        <f>ROUND(E6*Assumptions!$E$24,2)</f>
        <v>832.87</v>
      </c>
      <c r="F9">
        <f>ROUND(F6*Assumptions!$E$24,2)</f>
        <v>907.2</v>
      </c>
      <c r="G9">
        <f>ROUND(G6*Assumptions!$E$24,2)</f>
        <v>947.68</v>
      </c>
      <c r="H9">
        <f>ROUND(H6*Assumptions!$E$24,2)</f>
        <v>832.87</v>
      </c>
      <c r="I9">
        <f>ROUND(I6*Assumptions!$E$24,2)</f>
        <v>965.15</v>
      </c>
      <c r="J9">
        <f>ROUND(J6*Assumptions!$E$24,2)</f>
        <v>902.97</v>
      </c>
      <c r="K9">
        <f>ROUND(K6*Assumptions!$E$24,2)</f>
        <v>934.65</v>
      </c>
      <c r="L9">
        <f>ROUND(L6*Assumptions!$E$24,2)</f>
        <v>969.14</v>
      </c>
      <c r="M9">
        <f>ROUND(M6*Assumptions!$E$24,2)</f>
        <v>922.07</v>
      </c>
      <c r="N9">
        <f>ROUND(N6*Assumptions!$E$24,2)</f>
        <v>994.76</v>
      </c>
      <c r="O9">
        <f>SUM(C9:N9)</f>
        <v>59995.87</v>
      </c>
      <c r="P9">
        <f>IFERROR(O9/O6,"-")</f>
        <v>0.599999859990395</v>
      </c>
    </row>
    <row r="10" spans="1:16" x14ac:dyDescent="0.25">
      <c r="A10" t="s">
        <v>380</v>
      </c>
      <c r="B10" t="s">
        <v>380</v>
      </c>
      <c r="C10">
        <f>C6-C9</f>
        <v>3203.4</v>
      </c>
      <c r="D10">
        <f>D6-D9</f>
        <v>30654.27</v>
      </c>
      <c r="E10">
        <f>E6-E9</f>
        <v>555.25</v>
      </c>
      <c r="F10">
        <f>F6-F9</f>
        <v>604.8</v>
      </c>
      <c r="G10">
        <f>G6-G9</f>
        <v>631.79</v>
      </c>
      <c r="H10">
        <f>H6-H9</f>
        <v>555.25</v>
      </c>
      <c r="I10">
        <f>I6-I9</f>
        <v>643.44</v>
      </c>
      <c r="J10">
        <f>J6-J9</f>
        <v>601.98</v>
      </c>
      <c r="K10">
        <f>K6-K9</f>
        <v>623.1</v>
      </c>
      <c r="L10">
        <f>L6-L9</f>
        <v>646.09</v>
      </c>
      <c r="M10">
        <f>M6-M9</f>
        <v>614.72</v>
      </c>
      <c r="N10">
        <f>N6-N9</f>
        <v>663.18</v>
      </c>
      <c r="O10">
        <f>SUM(C10:N10)</f>
        <v>39997.27</v>
      </c>
      <c r="P10">
        <f>IFERROR(O10/O4,"-")</f>
        <v>0.396000184548681</v>
      </c>
    </row>
    <row r="12" spans="1:16" x14ac:dyDescent="0.25">
      <c r="A12" t="s">
        <v>381</v>
      </c>
      <c r="B12" t="s">
        <v>381</v>
      </c>
      <c r="C12" t="s">
        <v>381</v>
      </c>
      <c r="D12" t="s">
        <v>381</v>
      </c>
      <c r="E12" t="s">
        <v>381</v>
      </c>
      <c r="F12" t="s">
        <v>381</v>
      </c>
      <c r="G12" t="s">
        <v>381</v>
      </c>
      <c r="H12" t="s">
        <v>381</v>
      </c>
      <c r="I12" t="s">
        <v>381</v>
      </c>
      <c r="J12" t="s">
        <v>381</v>
      </c>
      <c r="K12" t="s">
        <v>381</v>
      </c>
      <c r="L12" t="s">
        <v>381</v>
      </c>
      <c r="M12" t="s">
        <v>381</v>
      </c>
      <c r="N12" t="s">
        <v>381</v>
      </c>
      <c r="O12" t="s">
        <v>381</v>
      </c>
      <c r="P12" t="s">
        <v>381</v>
      </c>
    </row>
    <row r="13" spans="1:16" x14ac:dyDescent="0.25">
      <c r="A13" t="s">
        <v>382</v>
      </c>
      <c r="B13" t="s">
        <v>382</v>
      </c>
      <c r="C13">
        <f>Emp_Cost!F14</f>
        <v>0.47</v>
      </c>
      <c r="D13">
        <f>Emp_Cost!G14</f>
        <v>0.47</v>
      </c>
      <c r="E13">
        <f>Emp_Cost!H14</f>
        <v>0.47</v>
      </c>
      <c r="F13">
        <f>Emp_Cost!I14</f>
        <v>0.47</v>
      </c>
      <c r="G13">
        <f>Emp_Cost!J14</f>
        <v>0.47</v>
      </c>
      <c r="H13">
        <f>Emp_Cost!K14</f>
        <v>0.47</v>
      </c>
      <c r="I13">
        <f>Emp_Cost!L14</f>
        <v>0.47</v>
      </c>
      <c r="J13">
        <f>Emp_Cost!M14</f>
        <v>0.47</v>
      </c>
      <c r="K13">
        <f>Emp_Cost!N14</f>
        <v>0.47</v>
      </c>
      <c r="L13">
        <f>Emp_Cost!O14</f>
        <v>0.47</v>
      </c>
      <c r="M13">
        <f>Emp_Cost!P14</f>
        <v>0.47</v>
      </c>
      <c r="N13">
        <f>Emp_Cost!Q14</f>
        <v>0.47</v>
      </c>
      <c r="O13">
        <f>SUM(C13:N13)</f>
        <v>5.64</v>
      </c>
      <c r="P13">
        <f>IFERROR(O13/O4,"-")</f>
        <v>0.0000558398370902455</v>
      </c>
    </row>
    <row r="14" spans="1:16" x14ac:dyDescent="0.25">
      <c r="A14" t="s">
        <v>383</v>
      </c>
      <c r="B14" t="s">
        <v>383</v>
      </c>
      <c r="C14">
        <f>Mktng_Cost!G13</f>
        <v>2</v>
      </c>
      <c r="D14">
        <f>Mktng_Cost!H13</f>
        <v>2.5</v>
      </c>
      <c r="E14">
        <f>Mktng_Cost!I13</f>
        <v>2</v>
      </c>
      <c r="F14">
        <f>Mktng_Cost!J13</f>
        <v>2.79</v>
      </c>
      <c r="G14">
        <f>Mktng_Cost!K13</f>
        <v>3.21</v>
      </c>
      <c r="H14">
        <f>Mktng_Cost!L13</f>
        <v>2.5</v>
      </c>
      <c r="I14">
        <f>Mktng_Cost!M13</f>
        <v>3</v>
      </c>
      <c r="J14">
        <f>Mktng_Cost!N13</f>
        <v>2.79</v>
      </c>
      <c r="K14">
        <f>Mktng_Cost!O13</f>
        <v>2</v>
      </c>
      <c r="L14">
        <f>Mktng_Cost!P13</f>
        <v>2.21</v>
      </c>
      <c r="M14">
        <f>Mktng_Cost!Q13</f>
        <v>2.5</v>
      </c>
      <c r="N14">
        <f>Mktng_Cost!R13</f>
        <v>3</v>
      </c>
      <c r="O14">
        <f>SUM(C14:N14)</f>
        <v>30.5</v>
      </c>
      <c r="P14">
        <f>IFERROR(O14/O4,"-")</f>
        <v>0.000301970750222072</v>
      </c>
    </row>
    <row r="15" spans="1:16" x14ac:dyDescent="0.25">
      <c r="A15" t="s">
        <v>384</v>
      </c>
      <c r="B15" t="s">
        <v>384</v>
      </c>
      <c r="C15">
        <f>Assumptions!$E$26</f>
        <v>18</v>
      </c>
      <c r="D15">
        <f>Assumptions!$E$26</f>
        <v>18</v>
      </c>
      <c r="E15">
        <f>Assumptions!$E$26</f>
        <v>18</v>
      </c>
      <c r="F15">
        <f>Assumptions!$E$26</f>
        <v>18</v>
      </c>
      <c r="G15">
        <f>Assumptions!$E$26</f>
        <v>18</v>
      </c>
      <c r="H15">
        <f>Assumptions!$E$26</f>
        <v>18</v>
      </c>
      <c r="I15">
        <f>Assumptions!$E$26</f>
        <v>18</v>
      </c>
      <c r="J15">
        <f>Assumptions!$E$26</f>
        <v>18</v>
      </c>
      <c r="K15">
        <f>Assumptions!$E$26</f>
        <v>18</v>
      </c>
      <c r="L15">
        <f>Assumptions!$E$26</f>
        <v>18</v>
      </c>
      <c r="M15">
        <f>Assumptions!$E$26</f>
        <v>18</v>
      </c>
      <c r="N15">
        <f>Assumptions!$E$26</f>
        <v>18</v>
      </c>
      <c r="O15">
        <f>SUM(C15:N15)</f>
        <v>216</v>
      </c>
      <c r="P15">
        <f>IFERROR(O15/O4,"-")</f>
        <v>0.00213854695239238</v>
      </c>
    </row>
    <row r="16" spans="1:16" x14ac:dyDescent="0.25">
      <c r="A16" t="s">
        <v>385</v>
      </c>
      <c r="B16" t="s">
        <v>385</v>
      </c>
      <c r="C16">
        <f>C13+C14+C15</f>
        <v>20.47</v>
      </c>
      <c r="D16">
        <f>D13+D14+D15</f>
        <v>20.97</v>
      </c>
      <c r="E16">
        <f>E13+E14+E15</f>
        <v>20.47</v>
      </c>
      <c r="F16">
        <f>F13+F14+F15</f>
        <v>21.26</v>
      </c>
      <c r="G16">
        <f>G13+G14+G15</f>
        <v>21.68</v>
      </c>
      <c r="H16">
        <f>H13+H14+H15</f>
        <v>20.97</v>
      </c>
      <c r="I16">
        <f>I13+I14+I15</f>
        <v>21.47</v>
      </c>
      <c r="J16">
        <f>J13+J14+J15</f>
        <v>21.26</v>
      </c>
      <c r="K16">
        <f>K13+K14+K15</f>
        <v>20.47</v>
      </c>
      <c r="L16">
        <f>L13+L14+L15</f>
        <v>20.68</v>
      </c>
      <c r="M16">
        <f>M13+M14+M15</f>
        <v>20.97</v>
      </c>
      <c r="N16">
        <f>N13+N14+N15</f>
        <v>21.47</v>
      </c>
      <c r="O16">
        <f>SUM(C16:N16)</f>
        <v>252.14</v>
      </c>
      <c r="P16">
        <f>IFERROR(O16/O4,"-")</f>
        <v>0.0024963575397047</v>
      </c>
    </row>
    <row r="18" spans="1:16" x14ac:dyDescent="0.25">
      <c r="A18" t="s">
        <v>386</v>
      </c>
      <c r="B18" t="s">
        <v>386</v>
      </c>
      <c r="C18">
        <f>C10-C16</f>
        <v>3182.93</v>
      </c>
      <c r="D18">
        <f>D10-D16</f>
        <v>30633.3</v>
      </c>
      <c r="E18">
        <f>E10-E16</f>
        <v>534.78</v>
      </c>
      <c r="F18">
        <f>F10-F16</f>
        <v>583.54</v>
      </c>
      <c r="G18">
        <f>G10-G16</f>
        <v>610.11</v>
      </c>
      <c r="H18">
        <f>H10-H16</f>
        <v>534.28</v>
      </c>
      <c r="I18">
        <f>I10-I16</f>
        <v>621.97</v>
      </c>
      <c r="J18">
        <f>J10-J16</f>
        <v>580.72</v>
      </c>
      <c r="K18">
        <f>K10-K16</f>
        <v>602.63</v>
      </c>
      <c r="L18">
        <f>L10-L16</f>
        <v>625.41</v>
      </c>
      <c r="M18">
        <f>M10-M16</f>
        <v>593.75</v>
      </c>
      <c r="N18">
        <f>N10-N16</f>
        <v>641.71</v>
      </c>
      <c r="O18">
        <f>SUM(C18:N18)</f>
        <v>39745.13</v>
      </c>
      <c r="P18">
        <f>IFERROR(O18/O4,"-")</f>
        <v>0.393503827008977</v>
      </c>
    </row>
    <row r="19" spans="1:15" x14ac:dyDescent="0.25">
      <c r="A19" t="s">
        <v>387</v>
      </c>
      <c r="B19" t="s">
        <v>387</v>
      </c>
      <c r="C19">
        <f>IFERROR(C18/C4,"-")</f>
        <v>0.393469231339778</v>
      </c>
      <c r="D19">
        <f>IFERROR(D18/D4,"-")</f>
        <v>0.395729117913669</v>
      </c>
      <c r="E19">
        <f>IFERROR(E18/E4,"-")</f>
        <v>0.381402712995849</v>
      </c>
      <c r="F19">
        <f>IFERROR(F18/F4,"-")</f>
        <v>0.382080444191269</v>
      </c>
      <c r="G19">
        <f>IFERROR(G18/G4,"-")</f>
        <v>0.382413408381492</v>
      </c>
      <c r="H19">
        <f>IFERROR(H18/H4,"-")</f>
        <v>0.381046115223872</v>
      </c>
      <c r="I19">
        <f>IFERROR(I18/I4,"-")</f>
        <v>0.382788459171364</v>
      </c>
      <c r="J19">
        <f>IFERROR(J18/J4,"-")</f>
        <v>0.382014932736901</v>
      </c>
      <c r="K19">
        <f>IFERROR(K18/K4,"-")</f>
        <v>0.382991839743753</v>
      </c>
      <c r="L19">
        <f>IFERROR(L18/L4,"-")</f>
        <v>0.383322607336582</v>
      </c>
      <c r="M19">
        <f>IFERROR(M18/M4,"-")</f>
        <v>0.382494475974515</v>
      </c>
      <c r="N19">
        <f>IFERROR(N18/N4,"-")</f>
        <v>0.383181364909326</v>
      </c>
      <c r="O19">
        <f>IFERROR(O18/O4,"-")</f>
        <v>0.393503827008977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Product_Master</vt:lpstr>
      <vt:lpstr>Price_NSP</vt:lpstr>
      <vt:lpstr>Volume_Plan</vt:lpstr>
      <vt:lpstr>Revenue</vt:lpstr>
      <vt:lpstr>Emp_Cost</vt:lpstr>
      <vt:lpstr>Mktng_Cost</vt:lpstr>
      <vt:lpstr>GL_Reference</vt:lpstr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2026-08-20T16:27:06Z</dcterms:created>
  <dcterms:modified xsi:type="dcterms:W3CDTF">2026-08-20T16:27:06Z</dcterms:modified>
</cp:coreProperties>
</file>