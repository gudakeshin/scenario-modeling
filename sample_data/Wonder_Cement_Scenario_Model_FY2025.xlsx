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_Logic" state="visible" r:id="rId4"/>
    <sheet sheetId="2" name="Assumptions" state="visible" r:id="rId5"/>
    <sheet sheetId="3" name="Volume_Mix" state="visible" r:id="rId6"/>
    <sheet sheetId="4" name="Cost_Build" state="visible" r:id="rId7"/>
    <sheet sheetId="5" name="P&amp;L" state="visible" r:id="rId8"/>
    <sheet sheetId="6" name="Scenario_CheatSheet" state="visible" r:id="rId9"/>
  </sheets>
  <calcPr calcId="171027"/>
</workbook>
</file>

<file path=xl/sharedStrings.xml><?xml version="1.0" encoding="utf-8"?>
<sst xmlns="http://schemas.openxmlformats.org/spreadsheetml/2006/main" count="411" uniqueCount="257">
  <si>
    <t>Wonder Cement — Illustrative Scenario Model (FY 2024-25)</t>
  </si>
  <si>
    <t>Company</t>
  </si>
  <si>
    <t>Wonder Cement Limited (illustrative model for product testing — not an audited statement)</t>
  </si>
  <si>
    <t/>
  </si>
  <si>
    <t>Purpose</t>
  </si>
  <si>
    <t>Driver-based grey-cement P&amp;L so scenario levers (volume, price, fuel, freight) recompute the full stack with formulas.</t>
  </si>
  <si>
    <t>Currency / Unit</t>
  </si>
  <si>
    <t>INR Crore for P&amp;L amounts. Volume in million tonnes (MT). Realization &amp; variable costs in ₹ / tonne.</t>
  </si>
  <si>
    <t>Public scale anchor</t>
  </si>
  <si>
    <t>Roughly aligned to FY25 order of magnitude: ~₹7,365 Cr revenue, ~₹505 Cr PAT, ~14 MT sales, ~₹5,260/t list realization.</t>
  </si>
  <si>
    <t>Synthetic — for testing only</t>
  </si>
  <si>
    <t>CALCULATION CHAIN</t>
  </si>
  <si>
    <t>How numbers flow across sheets</t>
  </si>
  <si>
    <t>Sheet / Cell</t>
  </si>
  <si>
    <t>1. Drivers</t>
  </si>
  <si>
    <t>Edit yellow cells only on Assumptions. Everything else is formula-driven.</t>
  </si>
  <si>
    <t>Assumptions!B7:B22</t>
  </si>
  <si>
    <t>2. Volume bridge</t>
  </si>
  <si>
    <t>Sales volume MT × product mix → cement tonnes sold by grade.</t>
  </si>
  <si>
    <t>Volume_Mix</t>
  </si>
  <si>
    <t>3. Revenue</t>
  </si>
  <si>
    <t>Revenue (₹ Cr) = Sales volume (MT) × Net realization (₹/t) ÷ 10</t>
  </si>
  <si>
    <t>P&amp;L!C8</t>
  </si>
  <si>
    <t>4. Variable costs</t>
  </si>
  <si>
    <t>Each variable line = Volume (MT) × ₹/t rate ÷ 10</t>
  </si>
  <si>
    <t>Cost_Build!C6:C11</t>
  </si>
  <si>
    <t>5. Contribution</t>
  </si>
  <si>
    <t>Contribution = Net revenue − total variable costs</t>
  </si>
  <si>
    <t>P&amp;L!C20</t>
  </si>
  <si>
    <t>6. Fixed opex</t>
  </si>
  <si>
    <t>Employee + other cash fixed opex (₹ Cr)</t>
  </si>
  <si>
    <t>P&amp;L!C24:C25</t>
  </si>
  <si>
    <t>7. EBITDA</t>
  </si>
  <si>
    <t>EBITDA = Contribution − cash fixed opex + other income</t>
  </si>
  <si>
    <t>P&amp;L!C28</t>
  </si>
  <si>
    <t>8. EBIT / PBT / PAT</t>
  </si>
  <si>
    <t>EBIT = EBITDA − D&amp;A; PBT = EBIT − finance; Tax = PBT × rate; PAT = PBT − Tax</t>
  </si>
  <si>
    <t>P&amp;L!C29:C34</t>
  </si>
  <si>
    <t>UNIT MATH</t>
  </si>
  <si>
    <t>Why ÷ 10?</t>
  </si>
  <si>
    <t>Identity</t>
  </si>
  <si>
    <t>1 MT × ₹1/tonne = ₹10 lakh = ₹0.1 Cr  →  Revenue_Cr = Volume_MT × ₹/t ÷ 10</t>
  </si>
  <si>
    <t>Keep this identity when changing drivers</t>
  </si>
  <si>
    <t>SCENARIO IDEAS</t>
  </si>
  <si>
    <t>Natural-language prompts that should move yellow levers</t>
  </si>
  <si>
    <t>Expected direction</t>
  </si>
  <si>
    <t>Volume +10%</t>
  </si>
  <si>
    <t>Increase cement sales volume by 10%</t>
  </si>
  <si>
    <t>Revenue↑, variable costs↑, PAT↑ (operating leverage)</t>
  </si>
  <si>
    <t>Price −₹200/t</t>
  </si>
  <si>
    <t>Cut blended realization by 200 rupees per tonne</t>
  </si>
  <si>
    <t>Revenue↓, margins compress</t>
  </si>
  <si>
    <t>Fuel spike +15%</t>
  </si>
  <si>
    <t>Raise fuel &amp; power cost per tonne by 15%</t>
  </si>
  <si>
    <t>EBITDA↓</t>
  </si>
  <si>
    <t>Freight +₹50/t</t>
  </si>
  <si>
    <t>Raise outbound freight by ₹50/t</t>
  </si>
  <si>
    <t>Contribution↓</t>
  </si>
  <si>
    <t>DISCLAIMER</t>
  </si>
  <si>
    <t>Figures are rounded, synthetic, and constructed for Scenario Modeling tests. Do not use for investment decisions.</t>
  </si>
  <si>
    <t>Driver / Assumption</t>
  </si>
  <si>
    <t>Value</t>
  </si>
  <si>
    <t>Unit</t>
  </si>
  <si>
    <t>Notes (edit yellow cells — these are scenario levers)</t>
  </si>
  <si>
    <t>META</t>
  </si>
  <si>
    <t>Wonder Cement Limited</t>
  </si>
  <si>
    <t>RK Group — grey cement (Nimbahera + grinding units)</t>
  </si>
  <si>
    <t>Statement period</t>
  </si>
  <si>
    <t>FY 2024-25</t>
  </si>
  <si>
    <t>All figures in INR Crore unless noted</t>
  </si>
  <si>
    <t>Denomination banner</t>
  </si>
  <si>
    <t>All figures in INR Crore</t>
  </si>
  <si>
    <t>Kept for parser denomination detection</t>
  </si>
  <si>
    <t>VOLUME &amp; PRICE LEVERS</t>
  </si>
  <si>
    <t>Cement sales volume</t>
  </si>
  <si>
    <t>MT</t>
  </si>
  <si>
    <t>Yellow lever — annual cement sold (million tonnes)</t>
  </si>
  <si>
    <t>Blended realization</t>
  </si>
  <si>
    <t>₹ / tonne</t>
  </si>
  <si>
    <t>Yellow lever — list / trade realization before rebate</t>
  </si>
  <si>
    <t>Trade discount &amp; dealer rebate</t>
  </si>
  <si>
    <t>Deducted from blended realization → net realization</t>
  </si>
  <si>
    <t>Limestone &amp; raw materials</t>
  </si>
  <si>
    <t>Yellow lever — variable raw material cost</t>
  </si>
  <si>
    <t>Fuel &amp; power (petcoke/coal/grid)</t>
  </si>
  <si>
    <t>Yellow lever — kiln + grinding energy</t>
  </si>
  <si>
    <t>Packing materials</t>
  </si>
  <si>
    <t>Bags &amp; packing</t>
  </si>
  <si>
    <t>Inbound logistics (mine/plant)</t>
  </si>
  <si>
    <t>Limestone / coal inbound</t>
  </si>
  <si>
    <t>Outbound freight to market</t>
  </si>
  <si>
    <t>Yellow lever — primary + secondary freight</t>
  </si>
  <si>
    <t>Other variable manufacturing</t>
  </si>
  <si>
    <t>Stores, consumables, variable plant costs</t>
  </si>
  <si>
    <t>FIXED COST &amp; BELOW-EBITDA</t>
  </si>
  <si>
    <t>Employee benefits expense</t>
  </si>
  <si>
    <t>₹ Cr</t>
  </si>
  <si>
    <t>Salaries, PF, welfare — largely fixed</t>
  </si>
  <si>
    <t>Other cash fixed opex</t>
  </si>
  <si>
    <t>Admin, selling overhead, repairs (cash)</t>
  </si>
  <si>
    <t>Depreciation &amp; amortization</t>
  </si>
  <si>
    <t>Plant, WHR, grinding units</t>
  </si>
  <si>
    <t>Finance cost</t>
  </si>
  <si>
    <t>Interest on borrowings</t>
  </si>
  <si>
    <t>Other income</t>
  </si>
  <si>
    <t>Interest / misc income</t>
  </si>
  <si>
    <t>Effective tax rate</t>
  </si>
  <si>
    <t>%</t>
  </si>
  <si>
    <t>Tax / PBT (illustrative)</t>
  </si>
  <si>
    <t>DERIVED (do not edit)</t>
  </si>
  <si>
    <t>Net realization after rebate</t>
  </si>
  <si>
    <t>= Blended realization − trade discount</t>
  </si>
  <si>
    <t>Total variable cost rate</t>
  </si>
  <si>
    <t>= Sum of all ₹/t variable cost levers</t>
  </si>
  <si>
    <t>Contribution per tonne</t>
  </si>
  <si>
    <t>= Net realization − total variable cost rate</t>
  </si>
  <si>
    <t>Revenue (₹ Cr)</t>
  </si>
  <si>
    <t>= Volume_MT × Net realization_₹/t ÷ 10</t>
  </si>
  <si>
    <t>Total variable costs (₹ Cr)</t>
  </si>
  <si>
    <t>= Volume_MT × Variable_₹/t ÷ 10</t>
  </si>
  <si>
    <t>PRIOR YEAR ANCHORS (FY24 hardcodes)</t>
  </si>
  <si>
    <t>FY24 cement sales volume</t>
  </si>
  <si>
    <t>CARE FY24 sales volume reference</t>
  </si>
  <si>
    <t>FY24 net realization</t>
  </si>
  <si>
    <t>Implied from ~₹7,077 Cr / 12.97 MT</t>
  </si>
  <si>
    <t>FY24 total variable ₹/t</t>
  </si>
  <si>
    <t>Slightly higher energy intensity prior year</t>
  </si>
  <si>
    <t>FY24 employee benefits</t>
  </si>
  <si>
    <t>FY24 other cash fixed opex</t>
  </si>
  <si>
    <t>FY24 D&amp;A</t>
  </si>
  <si>
    <t>FY24 finance cost</t>
  </si>
  <si>
    <t>FY24 other income</t>
  </si>
  <si>
    <t>FY24 tax rate</t>
  </si>
  <si>
    <t>Product / Channel</t>
  </si>
  <si>
    <t>Mix %</t>
  </si>
  <si>
    <t>Volume (MT)</t>
  </si>
  <si>
    <t>FY24 Vol (MT)</t>
  </si>
  <si>
    <t>Logic</t>
  </si>
  <si>
    <t>Total cement sales</t>
  </si>
  <si>
    <t>Master volume lever from Assumptions!B7</t>
  </si>
  <si>
    <t>OPC (Ordinary Portland)</t>
  </si>
  <si>
    <t>= Total volume × mix % (edit yellow mix)</t>
  </si>
  <si>
    <t>PPC (Portland Pozzolana)</t>
  </si>
  <si>
    <t>Specialty / other grey</t>
  </si>
  <si>
    <t>Mix check (must = 100%)</t>
  </si>
  <si>
    <t>If not 100%, fix yellow mix cells</t>
  </si>
  <si>
    <t>Capacity context</t>
  </si>
  <si>
    <t>Installed grinding capacity</t>
  </si>
  <si>
    <t>MTPA</t>
  </si>
  <si>
    <t>Post Line-5 (~May 2025) public figure</t>
  </si>
  <si>
    <t>Capacity utilization</t>
  </si>
  <si>
    <t>= Sales volume / installed capacity</t>
  </si>
  <si>
    <t>Cost line</t>
  </si>
  <si>
    <t>FY25 (₹ Cr)</t>
  </si>
  <si>
    <t>FY24 (₹ Cr)</t>
  </si>
  <si>
    <t>Formula</t>
  </si>
  <si>
    <t>Sales volume (MT)</t>
  </si>
  <si>
    <t>From Assumptions</t>
  </si>
  <si>
    <t>Net realization ₹/t</t>
  </si>
  <si>
    <t>Revenue bridge</t>
  </si>
  <si>
    <t>VARIABLE COSTS</t>
  </si>
  <si>
    <t>= Volume_MT × ₹/t ÷ 10</t>
  </si>
  <si>
    <t>Fuel &amp; power</t>
  </si>
  <si>
    <t>Inbound logistics</t>
  </si>
  <si>
    <t>Outbound freight</t>
  </si>
  <si>
    <t>Total variable costs</t>
  </si>
  <si>
    <t>Must match Assumptions!B26 / B29</t>
  </si>
  <si>
    <t>Contribution (₹ Cr)</t>
  </si>
  <si>
    <t>= Net revenue − total variable costs</t>
  </si>
  <si>
    <t>Contribution margin %</t>
  </si>
  <si>
    <t>Contribution / Net revenue</t>
  </si>
  <si>
    <t>Line item</t>
  </si>
  <si>
    <t>Section</t>
  </si>
  <si>
    <t>YoY %</t>
  </si>
  <si>
    <t>Calculation / source</t>
  </si>
  <si>
    <t>Wonder Cement Limited — Profit &amp; Loss</t>
  </si>
  <si>
    <t>Currency INR</t>
  </si>
  <si>
    <t>Unit Crore</t>
  </si>
  <si>
    <t>Green = formulas. Change yellow levers on Assumptions.</t>
  </si>
  <si>
    <t>Cement sales volume (MT)</t>
  </si>
  <si>
    <t>Volume</t>
  </si>
  <si>
    <t>Driver — not a P&amp;L ₹ line</t>
  </si>
  <si>
    <t>Net realization (₹/t)</t>
  </si>
  <si>
    <t>Price</t>
  </si>
  <si>
    <t>After dealer rebate</t>
  </si>
  <si>
    <t>REVENUE</t>
  </si>
  <si>
    <t>Revenue from operations</t>
  </si>
  <si>
    <t>Revenue</t>
  </si>
  <si>
    <t>= Volume × Net realization ÷ 10</t>
  </si>
  <si>
    <t>Assumptions lever</t>
  </si>
  <si>
    <t>Total income</t>
  </si>
  <si>
    <t>Revenue + other income</t>
  </si>
  <si>
    <t>COGS</t>
  </si>
  <si>
    <t>From Cost_Build</t>
  </si>
  <si>
    <t>Energy intensity lever</t>
  </si>
  <si>
    <t>Freight lever</t>
  </si>
  <si>
    <t>Sum of variable lines</t>
  </si>
  <si>
    <t>Contribution (gross profit proxy)</t>
  </si>
  <si>
    <t>Margin</t>
  </si>
  <si>
    <t>Revenue − variable costs</t>
  </si>
  <si>
    <t>Contribution / Revenue</t>
  </si>
  <si>
    <t>FIXED OPERATING COSTS</t>
  </si>
  <si>
    <t>Opex</t>
  </si>
  <si>
    <t>Fixed ₹ Cr lever</t>
  </si>
  <si>
    <t>Selling + admin cash fixed</t>
  </si>
  <si>
    <t>Total cash fixed opex</t>
  </si>
  <si>
    <t>EBITDA</t>
  </si>
  <si>
    <t>Profit</t>
  </si>
  <si>
    <t>Contribution − cash fixed + other income</t>
  </si>
  <si>
    <t>EBIT</t>
  </si>
  <si>
    <t>EBITDA − D&amp;A</t>
  </si>
  <si>
    <t>Profit before tax (PBT)</t>
  </si>
  <si>
    <t>EBIT − finance cost</t>
  </si>
  <si>
    <t>Tax expense</t>
  </si>
  <si>
    <t>PBT × tax rate</t>
  </si>
  <si>
    <t>Profit after tax (PAT)</t>
  </si>
  <si>
    <t>PBT − Tax</t>
  </si>
  <si>
    <t>EBITDA margin %</t>
  </si>
  <si>
    <t>Ratio</t>
  </si>
  <si>
    <t>EBITDA / Revenue</t>
  </si>
  <si>
    <t>PAT margin %</t>
  </si>
  <si>
    <t>PAT / Revenue</t>
  </si>
  <si>
    <t>KEY CHECKS</t>
  </si>
  <si>
    <t>P&amp;L variable costs = Cost_Build?</t>
  </si>
  <si>
    <t>Must be ~0</t>
  </si>
  <si>
    <t>P&amp;L revenue = Assumptions revenue?</t>
  </si>
  <si>
    <t>Lever name</t>
  </si>
  <si>
    <t>Cell</t>
  </si>
  <si>
    <t>Base value</t>
  </si>
  <si>
    <t>What happens when you change it</t>
  </si>
  <si>
    <t>Assumptions!B7</t>
  </si>
  <si>
    <t>14.0 MT</t>
  </si>
  <si>
    <t>Scales revenue AND all variable costs; fixed costs unchanged → operating leverage</t>
  </si>
  <si>
    <t>Assumptions!B8</t>
  </si>
  <si>
    <t>5,260 ₹/t</t>
  </si>
  <si>
    <t>Moves net realization and revenue; costs unchanged → margin swing</t>
  </si>
  <si>
    <t>Trade discount</t>
  </si>
  <si>
    <t>Assumptions!B9</t>
  </si>
  <si>
    <t>80 ₹/t</t>
  </si>
  <si>
    <t>Lowers net realization without changing list price</t>
  </si>
  <si>
    <t>Assumptions!B11</t>
  </si>
  <si>
    <t>980 ₹/t</t>
  </si>
  <si>
    <t>Classic cement energy shock scenario</t>
  </si>
  <si>
    <t>Assumptions!B14</t>
  </si>
  <si>
    <t>620 ₹/t</t>
  </si>
  <si>
    <t>Logistics inflation / diesel / lead-distance</t>
  </si>
  <si>
    <t>Employee benefits</t>
  </si>
  <si>
    <t>Assumptions!B17</t>
  </si>
  <si>
    <t>274 ₹ Cr</t>
  </si>
  <si>
    <t>Wage inflation — fixed cost</t>
  </si>
  <si>
    <t>Assumptions!B20</t>
  </si>
  <si>
    <t>210 ₹ Cr</t>
  </si>
  <si>
    <t>Rate hike / deleveraging</t>
  </si>
  <si>
    <t>Tax rate</t>
  </si>
  <si>
    <t>Assumptions!B22</t>
  </si>
  <si>
    <t>32%</t>
  </si>
  <si>
    <t>Effective tax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</si>
</sst>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CF3CF"/>
      </patternFill>
    </fill>
    <fill>
      <patternFill patternType="solid">
        <fgColor rgb="FFE8F8F5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ABB2B9"/>
      </left>
      <right style="thin">
        <color rgb="FFABB2B9"/>
      </right>
      <top style="thin">
        <color rgb="FFABB2B9"/>
      </top>
      <bottom style="thin">
        <color rgb="FFABB2B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4" fontId="2" fillId="5" borderId="1" xfId="0" applyNumberFormat="1" applyFont="1" applyFill="1" applyBorder="1"/>
    <xf numFmtId="164" fontId="2" fillId="5" borderId="1" xfId="0" applyNumberFormat="1" applyFont="1" applyFill="1" applyBorder="1"/>
    <xf numFmtId="4" fontId="0" fillId="6" borderId="1" xfId="0" applyNumberFormat="1" applyFill="1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0" fillId="6" borderId="1" xfId="0" applyNumberFormat="1" applyFill="1" applyBorder="1"/>
    <xf numFmtId="4" fontId="2" fillId="6" borderId="1" xfId="0" applyNumberFormat="1" applyFont="1" applyFill="1" applyBorder="1"/>
    <xf numFmtId="164" fontId="0" fillId="5" borderId="1" xfId="0" applyNumberFormat="1" applyFill="1" applyBorder="1"/>
    <xf numFmtId="164" fontId="2" fillId="7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4F72"/>
  </sheetPr>
  <dimension ref="A1:C26"/>
  <sheetFormatPr defaultRowHeight="15" outlineLevelRow="0" outlineLevelCol="0" x14ac:dyDescent="55"/>
  <cols>
    <col min="1" max="1" width="28" customWidth="1"/>
    <col min="2" max="2" width="78" customWidth="1"/>
    <col min="3" max="3" width="48" customWidth="1"/>
  </cols>
  <sheetData>
    <row r="1" ht="24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3" t="s">
        <v>2</v>
      </c>
      <c r="C2" s="3" t="s">
        <v>3</v>
      </c>
    </row>
    <row r="3" ht="28" customHeight="1" spans="1:3" x14ac:dyDescent="0.25">
      <c r="A3" s="2" t="s">
        <v>4</v>
      </c>
      <c r="B3" s="3" t="s">
        <v>5</v>
      </c>
      <c r="C3" s="3" t="s">
        <v>3</v>
      </c>
    </row>
    <row r="4" ht="28" customHeight="1" spans="1:3" x14ac:dyDescent="0.25">
      <c r="A4" s="2" t="s">
        <v>6</v>
      </c>
      <c r="B4" s="3" t="s">
        <v>7</v>
      </c>
      <c r="C4" s="3" t="s">
        <v>3</v>
      </c>
    </row>
    <row r="5" ht="28" customHeight="1" spans="1:3" x14ac:dyDescent="0.25">
      <c r="A5" s="2" t="s">
        <v>8</v>
      </c>
      <c r="B5" s="3" t="s">
        <v>9</v>
      </c>
      <c r="C5" s="3" t="s">
        <v>10</v>
      </c>
    </row>
    <row r="6" ht="8" customHeight="1" spans="1:3" x14ac:dyDescent="0.25">
      <c r="A6" s="2" t="s">
        <v>3</v>
      </c>
      <c r="B6" s="3" t="s">
        <v>3</v>
      </c>
      <c r="C6" s="3" t="s">
        <v>3</v>
      </c>
    </row>
    <row r="7" ht="28" customHeight="1" spans="1:3" x14ac:dyDescent="0.25">
      <c r="A7" s="4" t="s">
        <v>11</v>
      </c>
      <c r="B7" s="4" t="s">
        <v>12</v>
      </c>
      <c r="C7" s="4" t="s">
        <v>13</v>
      </c>
    </row>
    <row r="8" ht="28" customHeight="1" spans="1:3" x14ac:dyDescent="0.25">
      <c r="A8" s="2" t="s">
        <v>14</v>
      </c>
      <c r="B8" s="3" t="s">
        <v>15</v>
      </c>
      <c r="C8" s="3" t="s">
        <v>16</v>
      </c>
    </row>
    <row r="9" ht="28" customHeight="1" spans="1:3" x14ac:dyDescent="0.25">
      <c r="A9" s="2" t="s">
        <v>17</v>
      </c>
      <c r="B9" s="3" t="s">
        <v>18</v>
      </c>
      <c r="C9" s="3" t="s">
        <v>19</v>
      </c>
    </row>
    <row r="10" ht="28" customHeight="1" spans="1:3" x14ac:dyDescent="0.25">
      <c r="A10" s="2" t="s">
        <v>20</v>
      </c>
      <c r="B10" s="3" t="s">
        <v>21</v>
      </c>
      <c r="C10" s="3" t="s">
        <v>22</v>
      </c>
    </row>
    <row r="11" ht="28" customHeight="1" spans="1:3" x14ac:dyDescent="0.25">
      <c r="A11" s="2" t="s">
        <v>23</v>
      </c>
      <c r="B11" s="3" t="s">
        <v>24</v>
      </c>
      <c r="C11" s="3" t="s">
        <v>25</v>
      </c>
    </row>
    <row r="12" ht="28" customHeight="1" spans="1:3" x14ac:dyDescent="0.25">
      <c r="A12" s="2" t="s">
        <v>26</v>
      </c>
      <c r="B12" s="3" t="s">
        <v>27</v>
      </c>
      <c r="C12" s="3" t="s">
        <v>28</v>
      </c>
    </row>
    <row r="13" ht="28" customHeight="1" spans="1:3" x14ac:dyDescent="0.25">
      <c r="A13" s="2" t="s">
        <v>29</v>
      </c>
      <c r="B13" s="3" t="s">
        <v>30</v>
      </c>
      <c r="C13" s="3" t="s">
        <v>31</v>
      </c>
    </row>
    <row r="14" ht="28" customHeight="1" spans="1:3" x14ac:dyDescent="0.25">
      <c r="A14" s="2" t="s">
        <v>32</v>
      </c>
      <c r="B14" s="3" t="s">
        <v>33</v>
      </c>
      <c r="C14" s="3" t="s">
        <v>34</v>
      </c>
    </row>
    <row r="15" ht="28" customHeight="1" spans="1:3" x14ac:dyDescent="0.25">
      <c r="A15" s="2" t="s">
        <v>35</v>
      </c>
      <c r="B15" s="3" t="s">
        <v>36</v>
      </c>
      <c r="C15" s="3" t="s">
        <v>37</v>
      </c>
    </row>
    <row r="16" ht="8" customHeight="1" spans="1:3" x14ac:dyDescent="0.25">
      <c r="A16" s="2" t="s">
        <v>3</v>
      </c>
      <c r="B16" s="3" t="s">
        <v>3</v>
      </c>
      <c r="C16" s="3" t="s">
        <v>3</v>
      </c>
    </row>
    <row r="17" ht="28" customHeight="1" spans="1:3" x14ac:dyDescent="0.25">
      <c r="A17" s="4" t="s">
        <v>38</v>
      </c>
      <c r="B17" s="4" t="s">
        <v>39</v>
      </c>
      <c r="C17" s="4" t="s">
        <v>3</v>
      </c>
    </row>
    <row r="18" ht="28" customHeight="1" spans="1:3" x14ac:dyDescent="0.25">
      <c r="A18" s="2" t="s">
        <v>40</v>
      </c>
      <c r="B18" s="3" t="s">
        <v>41</v>
      </c>
      <c r="C18" s="3" t="s">
        <v>42</v>
      </c>
    </row>
    <row r="19" ht="8" customHeight="1" spans="1:3" x14ac:dyDescent="0.25">
      <c r="A19" s="2" t="s">
        <v>3</v>
      </c>
      <c r="B19" s="3" t="s">
        <v>3</v>
      </c>
      <c r="C19" s="3" t="s">
        <v>3</v>
      </c>
    </row>
    <row r="20" ht="28" customHeight="1" spans="1:3" x14ac:dyDescent="0.25">
      <c r="A20" s="4" t="s">
        <v>43</v>
      </c>
      <c r="B20" s="4" t="s">
        <v>44</v>
      </c>
      <c r="C20" s="4" t="s">
        <v>45</v>
      </c>
    </row>
    <row r="21" ht="28" customHeight="1" spans="1:3" x14ac:dyDescent="0.25">
      <c r="A21" s="2" t="s">
        <v>46</v>
      </c>
      <c r="B21" s="3" t="s">
        <v>47</v>
      </c>
      <c r="C21" s="3" t="s">
        <v>48</v>
      </c>
    </row>
    <row r="22" ht="28" customHeight="1" spans="1:3" x14ac:dyDescent="0.25">
      <c r="A22" s="2" t="s">
        <v>49</v>
      </c>
      <c r="B22" s="3" t="s">
        <v>50</v>
      </c>
      <c r="C22" s="3" t="s">
        <v>51</v>
      </c>
    </row>
    <row r="23" ht="28" customHeight="1" spans="1:3" x14ac:dyDescent="0.25">
      <c r="A23" s="2" t="s">
        <v>52</v>
      </c>
      <c r="B23" s="3" t="s">
        <v>53</v>
      </c>
      <c r="C23" s="3" t="s">
        <v>54</v>
      </c>
    </row>
    <row r="24" ht="28" customHeight="1" spans="1:3" x14ac:dyDescent="0.25">
      <c r="A24" s="2" t="s">
        <v>55</v>
      </c>
      <c r="B24" s="3" t="s">
        <v>56</v>
      </c>
      <c r="C24" s="3" t="s">
        <v>57</v>
      </c>
    </row>
    <row r="26" spans="1:3" x14ac:dyDescent="0.25">
      <c r="A26" s="5" t="s">
        <v>58</v>
      </c>
      <c r="B26" s="6" t="s">
        <v>59</v>
      </c>
      <c r="C26" s="6"/>
    </row>
  </sheetData>
  <mergeCells count="2">
    <mergeCell ref="A1:C1"/>
    <mergeCell ref="B26:C2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D03F"/>
  </sheetPr>
  <dimension ref="A1:D40"/>
  <sheetFormatPr defaultRowHeight="15" outlineLevelRow="0" outlineLevelCol="0" x14ac:dyDescent="55"/>
  <cols>
    <col min="1" max="1" width="38" customWidth="1"/>
    <col min="2" max="2" width="16" customWidth="1"/>
    <col min="3" max="3" width="14" customWidth="1"/>
    <col min="4" max="4" width="62" customWidth="1"/>
  </cols>
  <sheetData>
    <row r="1" spans="1:4" x14ac:dyDescent="0.25">
      <c r="A1" s="7" t="s">
        <v>60</v>
      </c>
      <c r="B1" s="7" t="s">
        <v>61</v>
      </c>
      <c r="C1" s="7" t="s">
        <v>62</v>
      </c>
      <c r="D1" s="7" t="s">
        <v>63</v>
      </c>
    </row>
    <row r="2" spans="1:4" x14ac:dyDescent="0.25">
      <c r="A2" s="8" t="s">
        <v>64</v>
      </c>
      <c r="B2" s="9" t="s">
        <v>3</v>
      </c>
      <c r="C2" s="9" t="s">
        <v>3</v>
      </c>
      <c r="D2" s="9" t="s">
        <v>3</v>
      </c>
    </row>
    <row r="3" spans="1:4" x14ac:dyDescent="0.25">
      <c r="A3" s="10" t="s">
        <v>1</v>
      </c>
      <c r="B3" s="10" t="s">
        <v>65</v>
      </c>
      <c r="C3" s="10" t="s">
        <v>3</v>
      </c>
      <c r="D3" s="10" t="s">
        <v>66</v>
      </c>
    </row>
    <row r="4" spans="1:4" x14ac:dyDescent="0.25">
      <c r="A4" s="10" t="s">
        <v>67</v>
      </c>
      <c r="B4" s="10" t="s">
        <v>68</v>
      </c>
      <c r="C4" s="10" t="s">
        <v>3</v>
      </c>
      <c r="D4" s="10" t="s">
        <v>69</v>
      </c>
    </row>
    <row r="5" spans="1:4" x14ac:dyDescent="0.25">
      <c r="A5" s="10" t="s">
        <v>70</v>
      </c>
      <c r="B5" s="10" t="s">
        <v>71</v>
      </c>
      <c r="C5" s="10" t="s">
        <v>3</v>
      </c>
      <c r="D5" s="10" t="s">
        <v>72</v>
      </c>
    </row>
    <row r="6" spans="1:4" x14ac:dyDescent="0.25">
      <c r="A6" s="8" t="s">
        <v>73</v>
      </c>
      <c r="B6" s="9" t="s">
        <v>3</v>
      </c>
      <c r="C6" s="9" t="s">
        <v>3</v>
      </c>
      <c r="D6" s="9" t="s">
        <v>3</v>
      </c>
    </row>
    <row r="7" spans="1:4" x14ac:dyDescent="0.25">
      <c r="A7" s="10" t="s">
        <v>74</v>
      </c>
      <c r="B7" s="11">
        <v>14</v>
      </c>
      <c r="C7" s="10" t="s">
        <v>75</v>
      </c>
      <c r="D7" s="10" t="s">
        <v>76</v>
      </c>
    </row>
    <row r="8" spans="1:4" x14ac:dyDescent="0.25">
      <c r="A8" s="10" t="s">
        <v>77</v>
      </c>
      <c r="B8" s="11">
        <v>5260</v>
      </c>
      <c r="C8" s="10" t="s">
        <v>78</v>
      </c>
      <c r="D8" s="10" t="s">
        <v>79</v>
      </c>
    </row>
    <row r="9" spans="1:4" x14ac:dyDescent="0.25">
      <c r="A9" s="10" t="s">
        <v>80</v>
      </c>
      <c r="B9" s="11">
        <v>80</v>
      </c>
      <c r="C9" s="10" t="s">
        <v>78</v>
      </c>
      <c r="D9" s="10" t="s">
        <v>81</v>
      </c>
    </row>
    <row r="10" spans="1:4" x14ac:dyDescent="0.25">
      <c r="A10" s="10" t="s">
        <v>82</v>
      </c>
      <c r="B10" s="11">
        <v>420</v>
      </c>
      <c r="C10" s="10" t="s">
        <v>78</v>
      </c>
      <c r="D10" s="10" t="s">
        <v>83</v>
      </c>
    </row>
    <row r="11" spans="1:4" x14ac:dyDescent="0.25">
      <c r="A11" s="10" t="s">
        <v>84</v>
      </c>
      <c r="B11" s="11">
        <v>980</v>
      </c>
      <c r="C11" s="10" t="s">
        <v>78</v>
      </c>
      <c r="D11" s="10" t="s">
        <v>85</v>
      </c>
    </row>
    <row r="12" spans="1:4" x14ac:dyDescent="0.25">
      <c r="A12" s="10" t="s">
        <v>86</v>
      </c>
      <c r="B12" s="11">
        <v>95</v>
      </c>
      <c r="C12" s="10" t="s">
        <v>78</v>
      </c>
      <c r="D12" s="10" t="s">
        <v>87</v>
      </c>
    </row>
    <row r="13" spans="1:4" x14ac:dyDescent="0.25">
      <c r="A13" s="10" t="s">
        <v>88</v>
      </c>
      <c r="B13" s="11">
        <v>110</v>
      </c>
      <c r="C13" s="10" t="s">
        <v>78</v>
      </c>
      <c r="D13" s="10" t="s">
        <v>89</v>
      </c>
    </row>
    <row r="14" spans="1:4" x14ac:dyDescent="0.25">
      <c r="A14" s="10" t="s">
        <v>90</v>
      </c>
      <c r="B14" s="11">
        <v>620</v>
      </c>
      <c r="C14" s="10" t="s">
        <v>78</v>
      </c>
      <c r="D14" s="10" t="s">
        <v>91</v>
      </c>
    </row>
    <row r="15" spans="1:4" x14ac:dyDescent="0.25">
      <c r="A15" s="10" t="s">
        <v>92</v>
      </c>
      <c r="B15" s="11">
        <v>140</v>
      </c>
      <c r="C15" s="10" t="s">
        <v>78</v>
      </c>
      <c r="D15" s="10" t="s">
        <v>93</v>
      </c>
    </row>
    <row r="16" spans="1:4" x14ac:dyDescent="0.25">
      <c r="A16" s="8" t="s">
        <v>94</v>
      </c>
      <c r="B16" s="9" t="s">
        <v>3</v>
      </c>
      <c r="C16" s="9" t="s">
        <v>3</v>
      </c>
      <c r="D16" s="9" t="s">
        <v>3</v>
      </c>
    </row>
    <row r="17" spans="1:4" x14ac:dyDescent="0.25">
      <c r="A17" s="10" t="s">
        <v>95</v>
      </c>
      <c r="B17" s="11">
        <v>274</v>
      </c>
      <c r="C17" s="10" t="s">
        <v>96</v>
      </c>
      <c r="D17" s="10" t="s">
        <v>97</v>
      </c>
    </row>
    <row r="18" spans="1:4" x14ac:dyDescent="0.25">
      <c r="A18" s="10" t="s">
        <v>98</v>
      </c>
      <c r="B18" s="11">
        <v>980</v>
      </c>
      <c r="C18" s="10" t="s">
        <v>96</v>
      </c>
      <c r="D18" s="10" t="s">
        <v>99</v>
      </c>
    </row>
    <row r="19" spans="1:4" x14ac:dyDescent="0.25">
      <c r="A19" s="10" t="s">
        <v>100</v>
      </c>
      <c r="B19" s="11">
        <v>541</v>
      </c>
      <c r="C19" s="10" t="s">
        <v>96</v>
      </c>
      <c r="D19" s="10" t="s">
        <v>101</v>
      </c>
    </row>
    <row r="20" spans="1:4" x14ac:dyDescent="0.25">
      <c r="A20" s="10" t="s">
        <v>102</v>
      </c>
      <c r="B20" s="11">
        <v>210</v>
      </c>
      <c r="C20" s="10" t="s">
        <v>96</v>
      </c>
      <c r="D20" s="10" t="s">
        <v>103</v>
      </c>
    </row>
    <row r="21" spans="1:4" x14ac:dyDescent="0.25">
      <c r="A21" s="10" t="s">
        <v>104</v>
      </c>
      <c r="B21" s="11">
        <v>54</v>
      </c>
      <c r="C21" s="10" t="s">
        <v>96</v>
      </c>
      <c r="D21" s="10" t="s">
        <v>105</v>
      </c>
    </row>
    <row r="22" spans="1:4" x14ac:dyDescent="0.25">
      <c r="A22" s="10" t="s">
        <v>106</v>
      </c>
      <c r="B22" s="12">
        <v>0.32</v>
      </c>
      <c r="C22" s="10" t="s">
        <v>107</v>
      </c>
      <c r="D22" s="10" t="s">
        <v>108</v>
      </c>
    </row>
    <row r="24" spans="1:4" x14ac:dyDescent="0.25">
      <c r="A24" s="8" t="s">
        <v>109</v>
      </c>
      <c r="B24" s="9" t="s">
        <v>3</v>
      </c>
      <c r="C24" s="9" t="s">
        <v>3</v>
      </c>
      <c r="D24" s="9" t="s">
        <v>3</v>
      </c>
    </row>
    <row r="25" spans="1:4" x14ac:dyDescent="0.25">
      <c r="A25" s="10" t="s">
        <v>110</v>
      </c>
      <c r="B25" s="13">
        <f>B8-B9</f>
        <v>5180</v>
      </c>
      <c r="C25" s="10" t="s">
        <v>78</v>
      </c>
      <c r="D25" s="10" t="s">
        <v>111</v>
      </c>
    </row>
    <row r="26" spans="1:4" x14ac:dyDescent="0.25">
      <c r="A26" s="10" t="s">
        <v>112</v>
      </c>
      <c r="B26" s="13">
        <f>B10+B11+B12+B13+B14+B15</f>
        <v>2365</v>
      </c>
      <c r="C26" s="10" t="s">
        <v>78</v>
      </c>
      <c r="D26" s="10" t="s">
        <v>113</v>
      </c>
    </row>
    <row r="27" spans="1:4" x14ac:dyDescent="0.25">
      <c r="A27" s="10" t="s">
        <v>114</v>
      </c>
      <c r="B27" s="13">
        <f>B25-B26</f>
        <v>2815</v>
      </c>
      <c r="C27" s="10" t="s">
        <v>78</v>
      </c>
      <c r="D27" s="10" t="s">
        <v>115</v>
      </c>
    </row>
    <row r="28" spans="1:4" x14ac:dyDescent="0.25">
      <c r="A28" s="10" t="s">
        <v>116</v>
      </c>
      <c r="B28" s="13">
        <f>B7*B25/10</f>
        <v>7252</v>
      </c>
      <c r="C28" s="10" t="s">
        <v>96</v>
      </c>
      <c r="D28" s="10" t="s">
        <v>117</v>
      </c>
    </row>
    <row r="29" spans="1:4" x14ac:dyDescent="0.25">
      <c r="A29" s="10" t="s">
        <v>118</v>
      </c>
      <c r="B29" s="13">
        <f>B7*B26/10</f>
        <v>3311</v>
      </c>
      <c r="C29" s="10" t="s">
        <v>96</v>
      </c>
      <c r="D29" s="10" t="s">
        <v>119</v>
      </c>
    </row>
    <row r="31" spans="1:4" x14ac:dyDescent="0.25">
      <c r="A31" s="8" t="s">
        <v>120</v>
      </c>
      <c r="B31" s="9" t="s">
        <v>3</v>
      </c>
      <c r="C31" s="9" t="s">
        <v>3</v>
      </c>
      <c r="D31" s="9" t="s">
        <v>3</v>
      </c>
    </row>
    <row r="32" spans="1:4" x14ac:dyDescent="0.25">
      <c r="A32" s="10" t="s">
        <v>121</v>
      </c>
      <c r="B32" s="14">
        <v>12.97</v>
      </c>
      <c r="C32" s="10" t="s">
        <v>75</v>
      </c>
      <c r="D32" s="10" t="s">
        <v>122</v>
      </c>
    </row>
    <row r="33" spans="1:4" x14ac:dyDescent="0.25">
      <c r="A33" s="10" t="s">
        <v>123</v>
      </c>
      <c r="B33" s="14">
        <v>5455</v>
      </c>
      <c r="C33" s="10" t="s">
        <v>78</v>
      </c>
      <c r="D33" s="10" t="s">
        <v>124</v>
      </c>
    </row>
    <row r="34" spans="1:4" x14ac:dyDescent="0.25">
      <c r="A34" s="10" t="s">
        <v>125</v>
      </c>
      <c r="B34" s="14">
        <v>2480</v>
      </c>
      <c r="C34" s="10" t="s">
        <v>78</v>
      </c>
      <c r="D34" s="10" t="s">
        <v>126</v>
      </c>
    </row>
    <row r="35" spans="1:4" x14ac:dyDescent="0.25">
      <c r="A35" s="10" t="s">
        <v>127</v>
      </c>
      <c r="B35" s="14">
        <v>257</v>
      </c>
      <c r="C35" s="10" t="s">
        <v>96</v>
      </c>
      <c r="D35" s="10" t="s">
        <v>3</v>
      </c>
    </row>
    <row r="36" spans="1:4" x14ac:dyDescent="0.25">
      <c r="A36" s="10" t="s">
        <v>128</v>
      </c>
      <c r="B36" s="14">
        <v>1020</v>
      </c>
      <c r="C36" s="10" t="s">
        <v>96</v>
      </c>
      <c r="D36" s="10" t="s">
        <v>3</v>
      </c>
    </row>
    <row r="37" spans="1:4" x14ac:dyDescent="0.25">
      <c r="A37" s="10" t="s">
        <v>129</v>
      </c>
      <c r="B37" s="14">
        <v>495</v>
      </c>
      <c r="C37" s="10" t="s">
        <v>96</v>
      </c>
      <c r="D37" s="10" t="s">
        <v>3</v>
      </c>
    </row>
    <row r="38" spans="1:4" x14ac:dyDescent="0.25">
      <c r="A38" s="10" t="s">
        <v>130</v>
      </c>
      <c r="B38" s="14">
        <v>225</v>
      </c>
      <c r="C38" s="10" t="s">
        <v>96</v>
      </c>
      <c r="D38" s="10" t="s">
        <v>3</v>
      </c>
    </row>
    <row r="39" spans="1:4" x14ac:dyDescent="0.25">
      <c r="A39" s="10" t="s">
        <v>131</v>
      </c>
      <c r="B39" s="14">
        <v>32</v>
      </c>
      <c r="C39" s="10" t="s">
        <v>96</v>
      </c>
      <c r="D39" s="10" t="s">
        <v>3</v>
      </c>
    </row>
    <row r="40" spans="1:4" x14ac:dyDescent="0.25">
      <c r="A40" s="10" t="s">
        <v>132</v>
      </c>
      <c r="B40" s="15">
        <v>0.329</v>
      </c>
      <c r="C40" s="10" t="s">
        <v>107</v>
      </c>
      <c r="D40" s="1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ADE2"/>
  </sheetPr>
  <dimension ref="A1:E11"/>
  <sheetFormatPr defaultRowHeight="15" outlineLevelRow="0" outlineLevelCol="0" x14ac:dyDescent="55"/>
  <cols>
    <col min="1" max="1" width="32" customWidth="1"/>
    <col min="2" max="4" width="14" customWidth="1"/>
    <col min="5" max="5" width="44" customWidth="1"/>
  </cols>
  <sheetData>
    <row r="1" spans="1:5" x14ac:dyDescent="0.25">
      <c r="A1" s="7" t="s">
        <v>133</v>
      </c>
      <c r="B1" s="7" t="s">
        <v>134</v>
      </c>
      <c r="C1" s="7" t="s">
        <v>135</v>
      </c>
      <c r="D1" s="7" t="s">
        <v>136</v>
      </c>
      <c r="E1" s="7" t="s">
        <v>137</v>
      </c>
    </row>
    <row r="2" spans="1:5" x14ac:dyDescent="0.25">
      <c r="A2" s="16" t="s">
        <v>138</v>
      </c>
      <c r="B2" s="17">
        <v>1</v>
      </c>
      <c r="C2" s="18">
        <f>Assumptions!B7</f>
        <v>14</v>
      </c>
      <c r="D2" s="13">
        <f>Assumptions!B32</f>
        <v>12.97</v>
      </c>
      <c r="E2" s="10" t="s">
        <v>139</v>
      </c>
    </row>
    <row r="3" spans="1:5" x14ac:dyDescent="0.25">
      <c r="A3" s="10" t="s">
        <v>140</v>
      </c>
      <c r="B3" s="19">
        <v>0.35</v>
      </c>
      <c r="C3" s="13">
        <f>$C$2*B3</f>
        <v>4.8999999999999995</v>
      </c>
      <c r="D3" s="13">
        <f>$D$2*B3</f>
        <v>4.5395</v>
      </c>
      <c r="E3" s="10" t="s">
        <v>141</v>
      </c>
    </row>
    <row r="4" spans="1:5" x14ac:dyDescent="0.25">
      <c r="A4" s="10" t="s">
        <v>142</v>
      </c>
      <c r="B4" s="19">
        <v>0.55</v>
      </c>
      <c r="C4" s="13">
        <f>$C$2*B4</f>
        <v>7.700000000000001</v>
      </c>
      <c r="D4" s="13">
        <f>$D$2*B4</f>
        <v>7.133500000000001</v>
      </c>
      <c r="E4" s="10" t="s">
        <v>141</v>
      </c>
    </row>
    <row r="5" spans="1:5" x14ac:dyDescent="0.25">
      <c r="A5" s="10" t="s">
        <v>143</v>
      </c>
      <c r="B5" s="19">
        <v>0.1</v>
      </c>
      <c r="C5" s="13">
        <f>$C$2*B5</f>
        <v>1.4000000000000001</v>
      </c>
      <c r="D5" s="13">
        <f>$D$2*B5</f>
        <v>1.2970000000000002</v>
      </c>
      <c r="E5" s="10" t="s">
        <v>141</v>
      </c>
    </row>
    <row r="7" spans="1:5" x14ac:dyDescent="0.25">
      <c r="A7" s="16" t="s">
        <v>144</v>
      </c>
      <c r="B7" s="20">
        <f>B3+B4+B5</f>
        <v>1</v>
      </c>
      <c r="E7" s="10" t="s">
        <v>145</v>
      </c>
    </row>
    <row r="9" spans="1:5" x14ac:dyDescent="0.25">
      <c r="A9" s="8" t="s">
        <v>146</v>
      </c>
      <c r="B9" s="9" t="s">
        <v>3</v>
      </c>
      <c r="C9" s="9" t="s">
        <v>3</v>
      </c>
      <c r="D9" s="9" t="s">
        <v>3</v>
      </c>
      <c r="E9" s="9" t="s">
        <v>3</v>
      </c>
    </row>
    <row r="10" spans="1:5" x14ac:dyDescent="0.25">
      <c r="A10" s="10" t="s">
        <v>147</v>
      </c>
      <c r="B10" s="14">
        <v>21.5</v>
      </c>
      <c r="C10" s="10" t="s">
        <v>148</v>
      </c>
      <c r="E10" s="10" t="s">
        <v>149</v>
      </c>
    </row>
    <row r="11" spans="1:5" x14ac:dyDescent="0.25">
      <c r="A11" s="10" t="s">
        <v>150</v>
      </c>
      <c r="B11" s="17">
        <f>C2/B10</f>
        <v>0.6511627906976745</v>
      </c>
      <c r="C11" s="10" t="s">
        <v>107</v>
      </c>
      <c r="E11" s="10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E15"/>
  <sheetFormatPr defaultRowHeight="15" outlineLevelRow="0" outlineLevelCol="0" x14ac:dyDescent="55"/>
  <cols>
    <col min="1" max="1" width="36" customWidth="1"/>
    <col min="2" max="2" width="14" customWidth="1"/>
    <col min="3" max="4" width="16" customWidth="1"/>
    <col min="5" max="5" width="48" customWidth="1"/>
  </cols>
  <sheetData>
    <row r="1" spans="1:5" x14ac:dyDescent="0.25">
      <c r="A1" s="7" t="s">
        <v>152</v>
      </c>
      <c r="B1" s="7" t="s">
        <v>78</v>
      </c>
      <c r="C1" s="7" t="s">
        <v>153</v>
      </c>
      <c r="D1" s="7" t="s">
        <v>154</v>
      </c>
      <c r="E1" s="7" t="s">
        <v>155</v>
      </c>
    </row>
    <row r="2" spans="1:5" x14ac:dyDescent="0.25">
      <c r="A2" s="16" t="s">
        <v>156</v>
      </c>
      <c r="C2" s="13">
        <f>Assumptions!B7</f>
        <v>14</v>
      </c>
      <c r="D2" s="13">
        <f>Assumptions!B32</f>
        <v>12.97</v>
      </c>
      <c r="E2" s="10" t="s">
        <v>157</v>
      </c>
    </row>
    <row r="3" spans="1:5" x14ac:dyDescent="0.25">
      <c r="A3" s="16" t="s">
        <v>158</v>
      </c>
      <c r="B3" s="13">
        <f>Assumptions!B25</f>
        <v>5180</v>
      </c>
      <c r="C3" s="13">
        <f>Assumptions!B28</f>
        <v>7252</v>
      </c>
      <c r="D3" s="13">
        <f>Assumptions!B32*Assumptions!B33/10</f>
        <v>7075.135</v>
      </c>
      <c r="E3" s="10" t="s">
        <v>159</v>
      </c>
    </row>
    <row r="5" spans="1:5" x14ac:dyDescent="0.25">
      <c r="A5" s="8" t="s">
        <v>160</v>
      </c>
      <c r="B5" s="9" t="s">
        <v>3</v>
      </c>
      <c r="C5" s="9" t="s">
        <v>3</v>
      </c>
      <c r="D5" s="9" t="s">
        <v>3</v>
      </c>
      <c r="E5" s="9" t="s">
        <v>3</v>
      </c>
    </row>
    <row r="6" spans="1:5" x14ac:dyDescent="0.25">
      <c r="A6" s="10" t="s">
        <v>82</v>
      </c>
      <c r="B6" s="13">
        <f>Assumptions!B10</f>
        <v>420</v>
      </c>
      <c r="C6" s="13">
        <f>$C$2*B6/10</f>
        <v>588</v>
      </c>
      <c r="D6" s="13">
        <f>$D$2*446.40/10</f>
        <v>578.9808</v>
      </c>
      <c r="E6" s="10" t="s">
        <v>161</v>
      </c>
    </row>
    <row r="7" spans="1:5" x14ac:dyDescent="0.25">
      <c r="A7" s="10" t="s">
        <v>162</v>
      </c>
      <c r="B7" s="13">
        <f>Assumptions!B11</f>
        <v>980</v>
      </c>
      <c r="C7" s="13">
        <f>$C$2*B7/10</f>
        <v>1372</v>
      </c>
      <c r="D7" s="13">
        <f>$D$2*1041.60/10</f>
        <v>1350.9551999999999</v>
      </c>
      <c r="E7" s="10" t="s">
        <v>161</v>
      </c>
    </row>
    <row r="8" spans="1:5" x14ac:dyDescent="0.25">
      <c r="A8" s="10" t="s">
        <v>86</v>
      </c>
      <c r="B8" s="13">
        <f>Assumptions!B12</f>
        <v>95</v>
      </c>
      <c r="C8" s="13">
        <f>$C$2*B8/10</f>
        <v>133</v>
      </c>
      <c r="D8" s="13">
        <f>$D$2*99.20/10</f>
        <v>128.6624</v>
      </c>
      <c r="E8" s="10" t="s">
        <v>161</v>
      </c>
    </row>
    <row r="9" spans="1:5" x14ac:dyDescent="0.25">
      <c r="A9" s="10" t="s">
        <v>163</v>
      </c>
      <c r="B9" s="13">
        <f>Assumptions!B13</f>
        <v>110</v>
      </c>
      <c r="C9" s="13">
        <f>$C$2*B9/10</f>
        <v>154</v>
      </c>
      <c r="D9" s="13">
        <f>$D$2*124.00/10</f>
        <v>160.828</v>
      </c>
      <c r="E9" s="10" t="s">
        <v>161</v>
      </c>
    </row>
    <row r="10" spans="1:5" x14ac:dyDescent="0.25">
      <c r="A10" s="10" t="s">
        <v>164</v>
      </c>
      <c r="B10" s="13">
        <f>Assumptions!B14</f>
        <v>620</v>
      </c>
      <c r="C10" s="13">
        <f>$C$2*B10/10</f>
        <v>868</v>
      </c>
      <c r="D10" s="13">
        <f>$D$2*644.80/10</f>
        <v>836.3056</v>
      </c>
      <c r="E10" s="10" t="s">
        <v>161</v>
      </c>
    </row>
    <row r="11" spans="1:5" x14ac:dyDescent="0.25">
      <c r="A11" s="10" t="s">
        <v>92</v>
      </c>
      <c r="B11" s="13">
        <f>Assumptions!B15</f>
        <v>140</v>
      </c>
      <c r="C11" s="13">
        <f>$C$2*B11/10</f>
        <v>196</v>
      </c>
      <c r="D11" s="13">
        <f>$D$2*124.00/10</f>
        <v>160.828</v>
      </c>
      <c r="E11" s="10" t="s">
        <v>161</v>
      </c>
    </row>
    <row r="12" spans="1:5" x14ac:dyDescent="0.25">
      <c r="A12" s="21" t="s">
        <v>165</v>
      </c>
      <c r="B12" s="22">
        <f>SUM(B6:B11)</f>
        <v>2365</v>
      </c>
      <c r="C12" s="22">
        <f>SUM(C6:C11)</f>
        <v>3311</v>
      </c>
      <c r="D12" s="22">
        <f>SUM(D6:D11)</f>
        <v>3216.5600000000004</v>
      </c>
      <c r="E12" s="23" t="s">
        <v>166</v>
      </c>
    </row>
    <row r="14" spans="1:5" x14ac:dyDescent="0.25">
      <c r="A14" s="16" t="s">
        <v>167</v>
      </c>
      <c r="B14" s="13">
        <f>B3-B12</f>
        <v>2815</v>
      </c>
      <c r="C14" s="18">
        <f>C3-C12</f>
        <v>3941</v>
      </c>
      <c r="D14" s="13">
        <f>D3-D12</f>
        <v>3858.575</v>
      </c>
      <c r="E14" s="10" t="s">
        <v>168</v>
      </c>
    </row>
    <row r="15" spans="1:5" x14ac:dyDescent="0.25">
      <c r="A15" s="10" t="s">
        <v>169</v>
      </c>
      <c r="B15" s="17">
        <f>IF(B3=0,0,B14/B3)</f>
        <v>0.5434362934362934</v>
      </c>
      <c r="C15" s="17">
        <f>IF(C3=0,0,C14/C3)</f>
        <v>0.5434362934362934</v>
      </c>
      <c r="D15" s="17">
        <f>IF(D3=0,0,D14/D3)</f>
        <v>0.5453712190650779</v>
      </c>
      <c r="E15" s="10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1"/>
  <sheetFormatPr defaultRowHeight="15" outlineLevelRow="0" outlineLevelCol="0" x14ac:dyDescent="55"/>
  <cols>
    <col min="1" max="1" width="40" customWidth="1"/>
    <col min="2" max="2" width="14" customWidth="1"/>
    <col min="3" max="4" width="16" customWidth="1"/>
    <col min="5" max="5" width="14" customWidth="1"/>
    <col min="6" max="6" width="52" customWidth="1"/>
  </cols>
  <sheetData>
    <row r="1" spans="1:6" x14ac:dyDescent="0.25">
      <c r="A1" s="7" t="s">
        <v>171</v>
      </c>
      <c r="B1" s="7" t="s">
        <v>172</v>
      </c>
      <c r="C1" s="7" t="s">
        <v>153</v>
      </c>
      <c r="D1" s="7" t="s">
        <v>154</v>
      </c>
      <c r="E1" s="7" t="s">
        <v>173</v>
      </c>
      <c r="F1" s="7" t="s">
        <v>174</v>
      </c>
    </row>
    <row r="2" spans="1:6" x14ac:dyDescent="0.25">
      <c r="A2" s="8" t="s">
        <v>175</v>
      </c>
      <c r="B2" s="9" t="s">
        <v>3</v>
      </c>
      <c r="C2" s="9" t="s">
        <v>3</v>
      </c>
      <c r="D2" s="9" t="s">
        <v>3</v>
      </c>
      <c r="E2" s="9" t="s">
        <v>3</v>
      </c>
      <c r="F2" s="9" t="s">
        <v>3</v>
      </c>
    </row>
    <row r="3" spans="1:6" x14ac:dyDescent="0.25">
      <c r="A3" s="10" t="s">
        <v>71</v>
      </c>
      <c r="B3" s="10" t="s">
        <v>176</v>
      </c>
      <c r="C3" s="10" t="s">
        <v>177</v>
      </c>
      <c r="F3" s="10" t="s">
        <v>178</v>
      </c>
    </row>
    <row r="5" spans="1:6" x14ac:dyDescent="0.25">
      <c r="A5" s="10" t="s">
        <v>179</v>
      </c>
      <c r="B5" s="10" t="s">
        <v>180</v>
      </c>
      <c r="C5" s="13">
        <f>Assumptions!B7</f>
        <v>14</v>
      </c>
      <c r="D5" s="13">
        <f>Assumptions!B32</f>
        <v>12.97</v>
      </c>
      <c r="E5" s="17">
        <f>IF(D5=0,0,(C5-D5)/ABS(D5))</f>
        <v>0.07941403238242092</v>
      </c>
      <c r="F5" s="10" t="s">
        <v>181</v>
      </c>
    </row>
    <row r="6" spans="1:6" x14ac:dyDescent="0.25">
      <c r="A6" s="10" t="s">
        <v>182</v>
      </c>
      <c r="B6" s="10" t="s">
        <v>183</v>
      </c>
      <c r="C6" s="13">
        <f>Assumptions!B25</f>
        <v>5180</v>
      </c>
      <c r="D6" s="13">
        <f>Assumptions!B33</f>
        <v>5455</v>
      </c>
      <c r="E6" s="17">
        <f>IF(D6=0,0,(C6-D6)/ABS(D6))</f>
        <v>-0.05041246562786435</v>
      </c>
      <c r="F6" s="23" t="s">
        <v>184</v>
      </c>
    </row>
    <row r="7" spans="1:6" x14ac:dyDescent="0.25">
      <c r="A7" s="8" t="s">
        <v>185</v>
      </c>
      <c r="B7" s="9" t="s">
        <v>3</v>
      </c>
      <c r="C7" s="9" t="s">
        <v>3</v>
      </c>
      <c r="D7" s="9" t="s">
        <v>3</v>
      </c>
      <c r="E7" s="9" t="s">
        <v>3</v>
      </c>
      <c r="F7" s="9" t="s">
        <v>3</v>
      </c>
    </row>
    <row r="8" spans="1:6" x14ac:dyDescent="0.25">
      <c r="A8" s="21" t="s">
        <v>186</v>
      </c>
      <c r="B8" s="23" t="s">
        <v>187</v>
      </c>
      <c r="C8" s="22">
        <f>Assumptions!B28</f>
        <v>7252</v>
      </c>
      <c r="D8" s="22">
        <f>Assumptions!B32*Assumptions!B33/10</f>
        <v>7075.135</v>
      </c>
      <c r="E8" s="24">
        <f>IF(D8=0,0,(C8-D8)/ABS(D8))</f>
        <v>0.024998109576707693</v>
      </c>
      <c r="F8" s="23" t="s">
        <v>188</v>
      </c>
    </row>
    <row r="9" spans="1:6" x14ac:dyDescent="0.25">
      <c r="A9" s="10" t="s">
        <v>104</v>
      </c>
      <c r="B9" s="10" t="s">
        <v>187</v>
      </c>
      <c r="C9" s="13">
        <f>Assumptions!B21</f>
        <v>54</v>
      </c>
      <c r="D9" s="13">
        <f>Assumptions!B39</f>
        <v>32</v>
      </c>
      <c r="E9" s="17">
        <f>IF(D9=0,0,(C9-D9)/ABS(D9))</f>
        <v>0.6875</v>
      </c>
      <c r="F9" s="10" t="s">
        <v>189</v>
      </c>
    </row>
    <row r="10" spans="1:6" x14ac:dyDescent="0.25">
      <c r="A10" s="21" t="s">
        <v>190</v>
      </c>
      <c r="B10" s="23" t="s">
        <v>187</v>
      </c>
      <c r="C10" s="22">
        <f>C8+C9</f>
        <v>7306</v>
      </c>
      <c r="D10" s="22">
        <f>D8+D9</f>
        <v>7107.135</v>
      </c>
      <c r="E10" s="24">
        <f>IF(D10=0,0,(C10-D10)/ABS(D10))</f>
        <v>0.027981035958934194</v>
      </c>
      <c r="F10" s="23" t="s">
        <v>191</v>
      </c>
    </row>
    <row r="12" spans="1:6" x14ac:dyDescent="0.25">
      <c r="A12" s="8" t="s">
        <v>160</v>
      </c>
      <c r="B12" s="9" t="s">
        <v>3</v>
      </c>
      <c r="C12" s="9" t="s">
        <v>3</v>
      </c>
      <c r="D12" s="9" t="s">
        <v>3</v>
      </c>
      <c r="E12" s="9" t="s">
        <v>3</v>
      </c>
      <c r="F12" s="9" t="s">
        <v>3</v>
      </c>
    </row>
    <row r="13" spans="1:6" x14ac:dyDescent="0.25">
      <c r="A13" s="10" t="s">
        <v>82</v>
      </c>
      <c r="B13" s="10" t="s">
        <v>192</v>
      </c>
      <c r="C13" s="13">
        <f>Cost_Build!C6</f>
        <v>588</v>
      </c>
      <c r="D13" s="13">
        <f>Cost_Build!D6</f>
        <v>578.9808</v>
      </c>
      <c r="E13" s="17">
        <f>IF(D13=0,0,(C13-D13)/ABS(D13))</f>
        <v>0.015577718639374492</v>
      </c>
      <c r="F13" s="10" t="s">
        <v>193</v>
      </c>
    </row>
    <row r="14" spans="1:6" x14ac:dyDescent="0.25">
      <c r="A14" s="10" t="s">
        <v>162</v>
      </c>
      <c r="B14" s="10" t="s">
        <v>192</v>
      </c>
      <c r="C14" s="13">
        <f>Cost_Build!C7</f>
        <v>1372</v>
      </c>
      <c r="D14" s="13">
        <f>Cost_Build!D7</f>
        <v>1350.9551999999999</v>
      </c>
      <c r="E14" s="17">
        <f>IF(D14=0,0,(C14-D14)/ABS(D14))</f>
        <v>0.015577718639374662</v>
      </c>
      <c r="F14" s="10" t="s">
        <v>194</v>
      </c>
    </row>
    <row r="15" spans="1:6" x14ac:dyDescent="0.25">
      <c r="A15" s="10" t="s">
        <v>86</v>
      </c>
      <c r="B15" s="10" t="s">
        <v>192</v>
      </c>
      <c r="C15" s="13">
        <f>Cost_Build!C8</f>
        <v>133</v>
      </c>
      <c r="D15" s="13">
        <f>Cost_Build!D8</f>
        <v>128.6624</v>
      </c>
      <c r="E15" s="17">
        <f>IF(D15=0,0,(C15-D15)/ABS(D15))</f>
        <v>0.03371303504364919</v>
      </c>
      <c r="F15" s="10" t="s">
        <v>3</v>
      </c>
    </row>
    <row r="16" spans="1:6" x14ac:dyDescent="0.25">
      <c r="A16" s="10" t="s">
        <v>163</v>
      </c>
      <c r="B16" s="10" t="s">
        <v>192</v>
      </c>
      <c r="C16" s="13">
        <f>Cost_Build!C9</f>
        <v>154</v>
      </c>
      <c r="D16" s="13">
        <f>Cost_Build!D9</f>
        <v>160.828</v>
      </c>
      <c r="E16" s="17">
        <f>IF(D16=0,0,(C16-D16)/ABS(D16))</f>
        <v>-0.042455293854303994</v>
      </c>
      <c r="F16" s="10" t="s">
        <v>3</v>
      </c>
    </row>
    <row r="17" spans="1:6" x14ac:dyDescent="0.25">
      <c r="A17" s="10" t="s">
        <v>164</v>
      </c>
      <c r="B17" s="10" t="s">
        <v>192</v>
      </c>
      <c r="C17" s="13">
        <f>Cost_Build!C10</f>
        <v>868</v>
      </c>
      <c r="D17" s="13">
        <f>Cost_Build!D10</f>
        <v>836.3056</v>
      </c>
      <c r="E17" s="17">
        <f>IF(D17=0,0,(C17-D17)/ABS(D17))</f>
        <v>0.037898108060020134</v>
      </c>
      <c r="F17" s="10" t="s">
        <v>195</v>
      </c>
    </row>
    <row r="18" spans="1:6" x14ac:dyDescent="0.25">
      <c r="A18" s="10" t="s">
        <v>92</v>
      </c>
      <c r="B18" s="10" t="s">
        <v>192</v>
      </c>
      <c r="C18" s="13">
        <f>Cost_Build!C11</f>
        <v>196</v>
      </c>
      <c r="D18" s="13">
        <f>Cost_Build!D11</f>
        <v>160.828</v>
      </c>
      <c r="E18" s="17">
        <f>IF(D18=0,0,(C18-D18)/ABS(D18))</f>
        <v>0.21869326236724945</v>
      </c>
      <c r="F18" s="10" t="s">
        <v>3</v>
      </c>
    </row>
    <row r="19" spans="1:6" x14ac:dyDescent="0.25">
      <c r="A19" s="21" t="s">
        <v>165</v>
      </c>
      <c r="B19" s="23" t="s">
        <v>192</v>
      </c>
      <c r="C19" s="22">
        <f>SUM(C13:C18)</f>
        <v>3311</v>
      </c>
      <c r="D19" s="22">
        <f>SUM(D13:D18)</f>
        <v>3216.5600000000004</v>
      </c>
      <c r="E19" s="24">
        <f>IF(D19=0,0,(C19-D19)/ABS(D19))</f>
        <v>0.029360559106623097</v>
      </c>
      <c r="F19" s="23" t="s">
        <v>196</v>
      </c>
    </row>
    <row r="20" spans="1:6" x14ac:dyDescent="0.25">
      <c r="A20" s="21" t="s">
        <v>197</v>
      </c>
      <c r="B20" s="23" t="s">
        <v>198</v>
      </c>
      <c r="C20" s="22">
        <f>C8-C19</f>
        <v>3941</v>
      </c>
      <c r="D20" s="22">
        <f>D8-D19</f>
        <v>3858.575</v>
      </c>
      <c r="E20" s="24">
        <f>IF(D20=0,0,(C20-D20)/ABS(D20))</f>
        <v>0.021361512993786615</v>
      </c>
      <c r="F20" s="23" t="s">
        <v>199</v>
      </c>
    </row>
    <row r="21" spans="1:6" x14ac:dyDescent="0.25">
      <c r="A21" s="10" t="s">
        <v>169</v>
      </c>
      <c r="B21" s="10" t="s">
        <v>198</v>
      </c>
      <c r="C21" s="17">
        <f>IF(C8=0,0,C20/C8)</f>
        <v>0.5434362934362934</v>
      </c>
      <c r="D21" s="17">
        <f>IF(D8=0,0,D20/D8)</f>
        <v>0.5453712190650779</v>
      </c>
      <c r="E21" s="17">
        <f>IF(D21=0,0,(C21-D21)/ABS(D21))</f>
        <v>-0.003547905648746034</v>
      </c>
      <c r="F21" s="10" t="s">
        <v>200</v>
      </c>
    </row>
    <row r="23" spans="1:6" x14ac:dyDescent="0.25">
      <c r="A23" s="8" t="s">
        <v>201</v>
      </c>
      <c r="B23" s="9" t="s">
        <v>3</v>
      </c>
      <c r="C23" s="9" t="s">
        <v>3</v>
      </c>
      <c r="D23" s="9" t="s">
        <v>3</v>
      </c>
      <c r="E23" s="9" t="s">
        <v>3</v>
      </c>
      <c r="F23" s="9" t="s">
        <v>3</v>
      </c>
    </row>
    <row r="24" spans="1:6" x14ac:dyDescent="0.25">
      <c r="A24" s="10" t="s">
        <v>95</v>
      </c>
      <c r="B24" s="10" t="s">
        <v>202</v>
      </c>
      <c r="C24" s="13">
        <f>Assumptions!B17</f>
        <v>274</v>
      </c>
      <c r="D24" s="13">
        <f>Assumptions!B35</f>
        <v>257</v>
      </c>
      <c r="E24" s="17">
        <f>IF(D24=0,0,(C24-D24)/ABS(D24))</f>
        <v>0.06614785992217899</v>
      </c>
      <c r="F24" s="10" t="s">
        <v>203</v>
      </c>
    </row>
    <row r="25" spans="1:6" x14ac:dyDescent="0.25">
      <c r="A25" s="10" t="s">
        <v>98</v>
      </c>
      <c r="B25" s="10" t="s">
        <v>202</v>
      </c>
      <c r="C25" s="13">
        <f>Assumptions!B18</f>
        <v>980</v>
      </c>
      <c r="D25" s="13">
        <f>Assumptions!B36</f>
        <v>1020</v>
      </c>
      <c r="E25" s="17">
        <f>IF(D25=0,0,(C25-D25)/ABS(D25))</f>
        <v>-0.0392156862745098</v>
      </c>
      <c r="F25" s="10" t="s">
        <v>204</v>
      </c>
    </row>
    <row r="26" spans="1:6" x14ac:dyDescent="0.25">
      <c r="A26" s="21" t="s">
        <v>205</v>
      </c>
      <c r="B26" s="23" t="s">
        <v>202</v>
      </c>
      <c r="C26" s="22">
        <f>C24+C25</f>
        <v>1254</v>
      </c>
      <c r="D26" s="22">
        <f>D24+D25</f>
        <v>1277</v>
      </c>
      <c r="E26" s="24">
        <f>IF(D26=0,0,(C26-D26)/ABS(D26))</f>
        <v>-0.018010963194988253</v>
      </c>
      <c r="F26" s="23" t="s">
        <v>3</v>
      </c>
    </row>
    <row r="28" spans="1:6" x14ac:dyDescent="0.25">
      <c r="A28" s="21" t="s">
        <v>206</v>
      </c>
      <c r="B28" s="23" t="s">
        <v>207</v>
      </c>
      <c r="C28" s="22">
        <f>C20-C26+C9</f>
        <v>2741</v>
      </c>
      <c r="D28" s="22">
        <f>D20-D26+D9</f>
        <v>2613.575</v>
      </c>
      <c r="E28" s="24">
        <f>IF(D28=0,0,(C28-D28)/ABS(D28))</f>
        <v>0.04875505772744237</v>
      </c>
      <c r="F28" s="23" t="s">
        <v>208</v>
      </c>
    </row>
    <row r="29" spans="1:6" x14ac:dyDescent="0.25">
      <c r="A29" s="10" t="s">
        <v>100</v>
      </c>
      <c r="B29" s="10" t="s">
        <v>207</v>
      </c>
      <c r="C29" s="13">
        <f>Assumptions!B19</f>
        <v>541</v>
      </c>
      <c r="D29" s="13">
        <f>Assumptions!B37</f>
        <v>495</v>
      </c>
      <c r="E29" s="17">
        <f>IF(D29=0,0,(C29-D29)/ABS(D29))</f>
        <v>0.09292929292929293</v>
      </c>
      <c r="F29" s="10" t="s">
        <v>3</v>
      </c>
    </row>
    <row r="30" spans="1:6" x14ac:dyDescent="0.25">
      <c r="A30" s="21" t="s">
        <v>209</v>
      </c>
      <c r="B30" s="23" t="s">
        <v>207</v>
      </c>
      <c r="C30" s="22">
        <f>C28-C29</f>
        <v>2200</v>
      </c>
      <c r="D30" s="22">
        <f>D28-D29</f>
        <v>2118.575</v>
      </c>
      <c r="E30" s="24">
        <f>IF(D30=0,0,(C30-D30)/ABS(D30))</f>
        <v>0.03843385294360605</v>
      </c>
      <c r="F30" s="23" t="s">
        <v>210</v>
      </c>
    </row>
    <row r="31" spans="1:6" x14ac:dyDescent="0.25">
      <c r="A31" s="10" t="s">
        <v>102</v>
      </c>
      <c r="B31" s="10" t="s">
        <v>207</v>
      </c>
      <c r="C31" s="13">
        <f>Assumptions!B20</f>
        <v>210</v>
      </c>
      <c r="D31" s="13">
        <f>Assumptions!B38</f>
        <v>225</v>
      </c>
      <c r="E31" s="17">
        <f>IF(D31=0,0,(C31-D31)/ABS(D31))</f>
        <v>-0.06666666666666667</v>
      </c>
      <c r="F31" s="10" t="s">
        <v>3</v>
      </c>
    </row>
    <row r="32" spans="1:6" x14ac:dyDescent="0.25">
      <c r="A32" s="21" t="s">
        <v>211</v>
      </c>
      <c r="B32" s="23" t="s">
        <v>207</v>
      </c>
      <c r="C32" s="22">
        <f>C30-C31</f>
        <v>1990</v>
      </c>
      <c r="D32" s="22">
        <f>D30-D31</f>
        <v>1893.5749999999998</v>
      </c>
      <c r="E32" s="24">
        <f>IF(D32=0,0,(C32-D32)/ABS(D32))</f>
        <v>0.050922197430785784</v>
      </c>
      <c r="F32" s="23" t="s">
        <v>212</v>
      </c>
    </row>
    <row r="33" spans="1:6" x14ac:dyDescent="0.25">
      <c r="A33" s="10" t="s">
        <v>213</v>
      </c>
      <c r="B33" s="10" t="s">
        <v>207</v>
      </c>
      <c r="C33" s="13">
        <f>C32*Assumptions!B22</f>
        <v>636.8000000000001</v>
      </c>
      <c r="D33" s="13">
        <f>D32*Assumptions!B40</f>
        <v>622.986175</v>
      </c>
      <c r="E33" s="17">
        <f>IF(D33=0,0,(C33-D33)/ABS(D33))</f>
        <v>0.022173565890125996</v>
      </c>
      <c r="F33" s="10" t="s">
        <v>214</v>
      </c>
    </row>
    <row r="34" spans="1:6" x14ac:dyDescent="0.25">
      <c r="A34" s="21" t="s">
        <v>215</v>
      </c>
      <c r="B34" s="23" t="s">
        <v>207</v>
      </c>
      <c r="C34" s="22">
        <f>C32-C33</f>
        <v>1353.1999999999998</v>
      </c>
      <c r="D34" s="22">
        <f>D32-D33</f>
        <v>1270.588825</v>
      </c>
      <c r="E34" s="24">
        <f>IF(D34=0,0,(C34-D34)/ABS(D34))</f>
        <v>0.06501802422195849</v>
      </c>
      <c r="F34" s="23" t="s">
        <v>216</v>
      </c>
    </row>
    <row r="36" spans="1:6" x14ac:dyDescent="0.25">
      <c r="A36" s="10" t="s">
        <v>217</v>
      </c>
      <c r="B36" s="10" t="s">
        <v>218</v>
      </c>
      <c r="C36" s="17">
        <f>IF(C8=0,0,C28/C8)</f>
        <v>0.3779646993932708</v>
      </c>
      <c r="D36" s="17">
        <f>IF(D8=0,0,D28/D8)</f>
        <v>0.36940284531673245</v>
      </c>
      <c r="E36" s="17">
        <f>IF(D36=0,0,(C36-D36)/ABS(D36))</f>
        <v>0.023177553137678955</v>
      </c>
      <c r="F36" s="10" t="s">
        <v>219</v>
      </c>
    </row>
    <row r="37" spans="1:6" x14ac:dyDescent="0.25">
      <c r="A37" s="10" t="s">
        <v>220</v>
      </c>
      <c r="B37" s="10" t="s">
        <v>218</v>
      </c>
      <c r="C37" s="17">
        <f>IF(C8=0,0,C34/C8)</f>
        <v>0.18659680088251515</v>
      </c>
      <c r="D37" s="17">
        <f>IF(D8=0,0,D34/D8)</f>
        <v>0.17958509978961532</v>
      </c>
      <c r="E37" s="17">
        <f>IF(D37=0,0,(C37-D37)/ABS(D37))</f>
        <v>0.03904389117534847</v>
      </c>
      <c r="F37" s="10" t="s">
        <v>221</v>
      </c>
    </row>
    <row r="39" spans="1:6" x14ac:dyDescent="0.25">
      <c r="A39" s="5" t="s">
        <v>222</v>
      </c>
      <c r="B39" s="25" t="s">
        <v>3</v>
      </c>
      <c r="C39" s="25" t="s">
        <v>3</v>
      </c>
      <c r="D39" s="25" t="s">
        <v>3</v>
      </c>
      <c r="E39" s="25" t="s">
        <v>3</v>
      </c>
      <c r="F39" s="25" t="s">
        <v>3</v>
      </c>
    </row>
    <row r="40" spans="1:6" x14ac:dyDescent="0.25">
      <c r="A40" s="10" t="s">
        <v>223</v>
      </c>
      <c r="C40" s="13">
        <f>C19-Cost_Build!C12</f>
        <v>0</v>
      </c>
      <c r="F40" s="10" t="s">
        <v>224</v>
      </c>
    </row>
    <row r="41" spans="1:6" x14ac:dyDescent="0.25">
      <c r="A41" s="10" t="s">
        <v>225</v>
      </c>
      <c r="C41" s="13">
        <f>C8-Assumptions!B28</f>
        <v>0</v>
      </c>
      <c r="F41" s="10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D9"/>
  <sheetFormatPr defaultRowHeight="15" outlineLevelRow="0" outlineLevelCol="0" x14ac:dyDescent="55"/>
  <cols>
    <col min="1" max="1" width="28" customWidth="1"/>
    <col min="2" max="2" width="22" customWidth="1"/>
    <col min="3" max="3" width="18" customWidth="1"/>
    <col min="4" max="4" width="62" customWidth="1"/>
  </cols>
  <sheetData>
    <row r="1" spans="1:4" x14ac:dyDescent="0.25">
      <c r="A1" s="7" t="s">
        <v>226</v>
      </c>
      <c r="B1" s="7" t="s">
        <v>227</v>
      </c>
      <c r="C1" s="7" t="s">
        <v>228</v>
      </c>
      <c r="D1" s="7" t="s">
        <v>229</v>
      </c>
    </row>
    <row r="2" spans="1:4" x14ac:dyDescent="0.25">
      <c r="A2" s="10" t="s">
        <v>74</v>
      </c>
      <c r="B2" s="26" t="s">
        <v>230</v>
      </c>
      <c r="C2" s="10" t="s">
        <v>231</v>
      </c>
      <c r="D2" s="10" t="s">
        <v>232</v>
      </c>
    </row>
    <row r="3" spans="1:4" x14ac:dyDescent="0.25">
      <c r="A3" s="10" t="s">
        <v>77</v>
      </c>
      <c r="B3" s="26" t="s">
        <v>233</v>
      </c>
      <c r="C3" s="10" t="s">
        <v>234</v>
      </c>
      <c r="D3" s="10" t="s">
        <v>235</v>
      </c>
    </row>
    <row r="4" spans="1:4" x14ac:dyDescent="0.25">
      <c r="A4" s="10" t="s">
        <v>236</v>
      </c>
      <c r="B4" s="26" t="s">
        <v>237</v>
      </c>
      <c r="C4" s="10" t="s">
        <v>238</v>
      </c>
      <c r="D4" s="10" t="s">
        <v>239</v>
      </c>
    </row>
    <row r="5" spans="1:4" x14ac:dyDescent="0.25">
      <c r="A5" s="10" t="s">
        <v>162</v>
      </c>
      <c r="B5" s="26" t="s">
        <v>240</v>
      </c>
      <c r="C5" s="10" t="s">
        <v>241</v>
      </c>
      <c r="D5" s="10" t="s">
        <v>242</v>
      </c>
    </row>
    <row r="6" spans="1:4" x14ac:dyDescent="0.25">
      <c r="A6" s="10" t="s">
        <v>164</v>
      </c>
      <c r="B6" s="26" t="s">
        <v>243</v>
      </c>
      <c r="C6" s="10" t="s">
        <v>244</v>
      </c>
      <c r="D6" s="10" t="s">
        <v>245</v>
      </c>
    </row>
    <row r="7" spans="1:4" x14ac:dyDescent="0.25">
      <c r="A7" s="10" t="s">
        <v>246</v>
      </c>
      <c r="B7" s="26" t="s">
        <v>247</v>
      </c>
      <c r="C7" s="10" t="s">
        <v>248</v>
      </c>
      <c r="D7" s="10" t="s">
        <v>249</v>
      </c>
    </row>
    <row r="8" spans="1:4" x14ac:dyDescent="0.25">
      <c r="A8" s="10" t="s">
        <v>102</v>
      </c>
      <c r="B8" s="26" t="s">
        <v>250</v>
      </c>
      <c r="C8" s="10" t="s">
        <v>251</v>
      </c>
      <c r="D8" s="10" t="s">
        <v>252</v>
      </c>
    </row>
    <row r="9" spans="1:4" x14ac:dyDescent="0.25">
      <c r="A9" s="10" t="s">
        <v>253</v>
      </c>
      <c r="B9" s="26" t="s">
        <v>254</v>
      </c>
      <c r="C9" s="10" t="s">
        <v>255</v>
      </c>
      <c r="D9" s="10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Model_Logic</vt:lpstr>
      <vt:lpstr>Assumptions</vt:lpstr>
      <vt:lpstr>Volume_Mix</vt:lpstr>
      <vt:lpstr>Cost_Build</vt:lpstr>
      <vt:lpstr>P&amp;L</vt:lpstr>
      <vt:lpstr>Scenario_CheatSheet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Scenario Modeling</dc:creator>
  <dc:title/>
  <dc:subject/>
  <dc:description>Illustrative Wonder Cement driver-based P&amp;L model for scenario testing</dc:description>
  <cp:keywords/>
  <cp:category/>
  <cp:lastModifiedBy>Unknown</cp:lastModifiedBy>
  <dcterms:created xsi:type="dcterms:W3CDTF">2026-07-16T05:56:32Z</dcterms:created>
  <dcterms:modified xsi:type="dcterms:W3CDTF">2026-07-16T05:56:32Z</dcterms:modified>
</cp:coreProperties>
</file>